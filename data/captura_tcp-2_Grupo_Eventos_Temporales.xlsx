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FelipeGuatibon\Downloads\"/>
    </mc:Choice>
  </mc:AlternateContent>
  <xr:revisionPtr revIDLastSave="0" documentId="13_ncr:1_{EF543C9D-8DB6-4D2D-A042-D7B8FF21E8DF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Resumen" sheetId="1" r:id="rId1"/>
    <sheet name="Paquetes" sheetId="2" r:id="rId2"/>
    <sheet name="Payloads" sheetId="3" r:id="rId3"/>
    <sheet name="Conversaciones" sheetId="4" r:id="rId4"/>
  </sheets>
  <definedNames>
    <definedName name="_xlnm._FilterDatabase" localSheetId="3" hidden="1">Conversaciones!$A$1:$G$10</definedName>
    <definedName name="_xlnm._FilterDatabase" localSheetId="1" hidden="1">Paquetes!$A$1:$S$149</definedName>
    <definedName name="_xlnm._FilterDatabase" localSheetId="2" hidden="1">Payloads!$A$1:$F$58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<sst xmlns="http://schemas.openxmlformats.org/spreadsheetml/2006/main" count="1177" uniqueCount="187">
  <si>
    <t>Dato</t>
  </si>
  <si>
    <t>Valor</t>
  </si>
  <si>
    <t>Total de paquetes</t>
  </si>
  <si>
    <t>Paquetes con payload</t>
  </si>
  <si>
    <t>Bytes totales (frames)</t>
  </si>
  <si>
    <t>Bytes de payload</t>
  </si>
  <si>
    <t>Duración de la captura (s)</t>
  </si>
  <si>
    <t>Conversaciones TCP</t>
  </si>
  <si>
    <t>Inicio (UTC)</t>
  </si>
  <si>
    <t>Nota</t>
  </si>
  <si>
    <t>Captura tcpdump (eth0, snaplen 1500) de una sesión Colab: HTTP/WebSocket a los puertos 8080 y 6000 entre 172.28.0.1 y 172.28.0.12.</t>
  </si>
  <si>
    <t>N°</t>
  </si>
  <si>
    <t>Fecha/hora (UTC)</t>
  </si>
  <si>
    <t>Tiempo rel. (s)</t>
  </si>
  <si>
    <t>Bytes frame</t>
  </si>
  <si>
    <t>MAC origen</t>
  </si>
  <si>
    <t>MAC destino</t>
  </si>
  <si>
    <t>IP origen</t>
  </si>
  <si>
    <t>Puerto origen</t>
  </si>
  <si>
    <t>IP destino</t>
  </si>
  <si>
    <t>Puerto destino</t>
  </si>
  <si>
    <t>Protocolo</t>
  </si>
  <si>
    <t>TTL</t>
  </si>
  <si>
    <t>IP ID</t>
  </si>
  <si>
    <t>Long. IP</t>
  </si>
  <si>
    <t>Seq</t>
  </si>
  <si>
    <t>Ack</t>
  </si>
  <si>
    <t>Flags TCP</t>
  </si>
  <si>
    <t>Ventana</t>
  </si>
  <si>
    <t>Bytes payload</t>
  </si>
  <si>
    <t>02:42:ac:1c:00:0c</t>
  </si>
  <si>
    <t>02:42:d2:1b:97:6f</t>
  </si>
  <si>
    <t>172.28.0.12</t>
  </si>
  <si>
    <t>172.28.0.1</t>
  </si>
  <si>
    <t>TCP</t>
  </si>
  <si>
    <t>PSH,ACK</t>
  </si>
  <si>
    <t>ACK</t>
  </si>
  <si>
    <t>FIN,ACK</t>
  </si>
  <si>
    <t>SYN</t>
  </si>
  <si>
    <t>SYN,ACK</t>
  </si>
  <si>
    <t>N° paquete</t>
  </si>
  <si>
    <t>Flujo</t>
  </si>
  <si>
    <t>Bytes</t>
  </si>
  <si>
    <t>Tipo</t>
  </si>
  <si>
    <t>Payload (ASCII)</t>
  </si>
  <si>
    <t>Payload (hex)</t>
  </si>
  <si>
    <t>172.28.0.12:8080 -&gt; 172.28.0.1:51340</t>
  </si>
  <si>
    <t>Texto</t>
  </si>
  <si>
    <t>.~..{"header": {"msg_id": "44bb2a99-4f44b5363322cb6ccc6fe0bb_2381_50", "msg_type": "colab_request", "username": "username", "session": "44bb2a99-4f44b5363322cb6ccc6fe0bb", "date": "2026-09-03T00:07:39.885781Z", "version": "5.3"}, "msg_id": "44bb2a99-4f44b5363322cb6ccc6fe0bb_2381_50", "msg_type": "colab_request", "parent_header": {"msg_id": "1633fa16-dec7-4cc4-9979-6f2ad4c4a951", "username": "username", "session": "d0ad2c91-8907-4ae2-bbce-bdb607d04ac0", "msg_type": "execute_request", "version": "5.0", "date": "2026-09-03T00:07:39.777627Z"}, "metadata": {"colab_request_type": "cell_update_stdin"}, "content": {"request": {"echo": true}}, "buffers": [], "channel": "iopub"}</t>
  </si>
  <si>
    <t>817e02a17b22686561646572223a207b226d73675f6964223a202234346262326139392d3466343462353336333332326362366363633666653062625f323338315f3530222c20226d73675f74797065223a2022636f6c61625f72657175657374222c2022757365726e616d65223a2022757365726e616d65222c202273657373696f6e223a202234346262326139392d346634346235333633333232636236636363366665306262222c202264617465223a2022323032362d30392d30335430303a30373a33392e3838353738315a222c202276657273696f6e223a2022352e33227d2c20226d73675f6964223a202234346262326139392d3466343462353336333332326362366363633666653062625f323338315f3530222c20226d73675f74797065223a2022636f6c61625f72657175657374222c2022706172656e745f686561646572223a207b226d73675f6964223a202231363333666131362d646563372d346363342d393937392d366632616434633461393531222c2022757365726e616d65223a2022757365726e616d65222c202273657373696f6e223a202264306164326339312d383930372d346165322d626263652d626462363037643034616330222c20226d73675f74797065223a2022657865637574655f72657175657374222c202276657273696f6e223a2022352e30222c202264617465223a2022323032362d30392d30335430303a30373a33392e3737373632375a227d2c20226d65746164617461223a207b22636f6c61625f726571756573745f74797065223a202263656c6c5f7570646174655f737464696e227d2c2022636f6e74656e74223a207b2272657175657374223a207b226563686f223a20747275657d7d2c202262756666657273223a205b5d2c20226368616e6e656c223a2022696f707562227d</t>
  </si>
  <si>
    <t>172.28.0.1:51340 -&gt; 172.28.0.12:8080</t>
  </si>
  <si>
    <t>Binario</t>
  </si>
  <si>
    <t>.......!t..Dn..S-...b..~f...-..@n...;..C&gt;...:...n..."..E&lt;...;...9...z..Sa..D-..T|..On...#..D|..Na...k..E=..."...8..@j..Cm...m...?...;...-..L|..Uv...5..Yj..Uj..D~..R{...y..Rf...5...?.._x000D_-..Un..Un..Z-..Mn...t..T{..UP..J-..Gn..E?...&gt;..."...:...8..Dk...?...?...r...l..Uj...5..@c..VP..Ef...i..Rj..B`...5.._x000D_-..Mj...5..Tj..R{..DP..R{..X-..@c.._x000D_-..D}..Y...R|..O|..Zr..T|..~y..Hn..D|..zR......Da..Ij..D}..Zr..Bg..Oj...-..Dc..\</t>
  </si>
  <si>
    <t>81fe01980fce8f2174ece7446eaaea532df4f40362bde87e66aaad1b2dfeba406efdbe113be3b6433ef8a2153afbb60c6eaabe1022a8eb453cfaed143bf7bd1339eca3037abdea5361afe2442df4ad547cabfd4f6ea3ea0323ecfc447cbde64e61ecb5036bfeee453dadb61022f6b61138e3bb406afca2436dadea0c6daaed173ff9eb113bafec112de2ad4c7ca9d05576beea0335ecea596aadfa556a91fd447ebbea527beca30379abfd5266a1e10335ecba0f3fecf20d2da3ea556eaaee556eecb55a2dade04d6eacad1b74ece0547bbefa5550afec4a2df4ad476efcec453fafb60c3eaabe1422fab9113ae3ec1938aba2446bfded173ffebe163fafb90372b3a3036ca1e1556aa0fb0335b5ad4063a2e05650bdfb4566a0ad1b69afe3526ae2ad4260aaea0335ecad0d2dbde64d6aa0fb0335bafd546ae2ad527ba1fd4450a6e6527ba1fd582df4e94063bdea0d2dbbfc447d91ea597fbcea527ca7e04f7cecb55a72e2ad547cabfd7e79affd486eace3447cecb57a52b3a3037faffd4461bad0496aafeb447decb55a72e2ad4267afe14f6aa2ad1b2dbde74463a2ad5c</t>
  </si>
  <si>
    <t>172.28.0.1:57172 -&gt; 172.28.0.12:8080</t>
  </si>
  <si>
    <t>..._x000D_.../...e...7...u...n...c...d...b...!......./...y...I...`.../...x...7...`......."...h.../.../...c.../...#.....3...</t>
  </si>
  <si>
    <t>81e99b0d96e8e02ffb8def65f98cb937b49cfe75e2acf46ee385fe63e2c7ff64f2abf762e58db921b498fa7ff785e82fac93b979f390ef49f98bee60f386ef2fac93b978e481b937b481f560f385f47fefd2b422fb87ff68fac7aa2feb95b72ffc9bf463e498f82faccaa923a6cae688803314afde</t>
  </si>
  <si>
    <t>172.28.0.12:8080 -&gt; 172.28.0.1:57172</t>
  </si>
  <si>
    <t>..</t>
  </si>
  <si>
    <t>8800</t>
  </si>
  <si>
    <t>.~..{"header": {"msg_id": "44bb2a99-4f44b5363322cb6ccc6fe0bb_2381_51", "msg_type": "stream", "username": "username", "session": "44bb2a99-4f44b5363322cb6ccc6fe0bb", "date": "2026-09-03T00:07:40.087776Z", "version": "5.3"}, "msg_id": "44bb2a99-4f44b5363322cb6ccc6fe0bb_2381_51", "msg_type": "stream", "parent_header": {"msg_id": "1633fa16-dec7-4cc4-9979-6f2ad4c4a951", "username": "username", "session": "d0ad2c91-8907-4ae2-bbce-bdb607d04ac0", "msg_type": "execute_request", "version": "5.0", "date": "2026-09-03T00:07:39.777627Z"}, "metadata": {}, "content": {"name": "stdout", "text": "tcpdump: listening on eth0, link-type EN10MB (Ethernet), snapshot length 1500 bytes\n"}, "buffers": [], "channel": "iopub"}</t>
  </si>
  <si>
    <t>817e02c27b22686561646572223a207b226d73675f6964223a202234346262326139392d3466343462353336333332326362366363633666653062625f323338315f3531222c20226d73675f74797065223a202273747265616d222c2022757365726e616d65223a2022757365726e616d65222c202273657373696f6e223a202234346262326139392d346634346235333633333232636236636363366665306262222c202264617465223a2022323032362d30392d30335430303a30373a34302e3038373737365a222c202276657273696f6e223a2022352e33227d2c20226d73675f6964223a202234346262326139392d3466343462353336333332326362366363633666653062625f323338315f3531222c20226d73675f74797065223a202273747265616d222c2022706172656e745f686561646572223a207b226d73675f6964223a202231363333666131362d646563372d346363342d393937392d366632616434633461393531222c2022757365726e616d65223a2022757365726e616d65222c202273657373696f6e223a202264306164326339312d383930372d346165322d626263652d626462363037643034616330222c20226d73675f74797065223a2022657865637574655f72657175657374222c202276657273696f6e223a2022352e30222c202264617465223a2022323032362d30392d30335430303a30373a33392e3737373632375a227d2c20226d65746164617461223a207b7d2c2022636f6e74656e74223a207b226e616d65223a20227374646f7574222c202274657874223a202274637064756d703a206c697374656e696e67206f6e20657468302c206c696e6b2d7479706520454e31304d42202845746865726e6574292c20736e617073686f74206c656e67746820313530302062797465735c6e227d2c202262756666657273223a205b5d2c20226368616e6e656c223a2022696f707562227d</t>
  </si>
  <si>
    <t>172.28.0.1:44464 -&gt; 172.28.0.12:8080</t>
  </si>
  <si>
    <t xml:space="preserve">GET /colab/lsp HTTP/1.1_x000D_
Host: m-s-kkb-usw1b1-z7tu7na99e3g.us-west1-b.c.codatalab-user-runtimes.internal:8007_x000D_
User-Agent: Mozilla/5.0 (Windows NT 10.0; Win64; x64) AppleWebKit/537.36 (KHTML, like Gecko) Chrome/146.0.0.0 Safari/537.36_x000D_
Accept-Encoding: gzip, deflate, br, zstd_x000D_
Accept-Language: es-US,es-419;q=0.9,es;q=0.8_x000D_
Cache-Control: no-cache_x000D_
Connection: Upgrade_x000D_
Origin: https://colab.research.google.com_x000D_
Pragma: no-cache_x000D_
Sec-Websocket-Extensions: permessage-deflate; client_max_window_bits_x000D_
Sec-Websocket-Key: xpO3vquTUJ6Oa+VQGS9/BA==_x000D_
Sec-Websocket-Version: 13_x000D_
Upgrade: websocket_x000D_
Via: 1.1 google_x000D_
X-Cloud-Trace-Context: d6950420537801b8d11310562de82e38/648314314675520293_x000D_
_x000D_
</t>
  </si>
  <si>
    <t>474554202f636f6c61622f6c737020485454502f312e310d0a486f73743a206d2d732d6b6b622d7573773162312d7a377475376e6139396533672e75732d77657374312d622e632e636f646174616c61622d757365722d72756e74696d65732e696e7465726e616c3a383030370d0a557365722d4167656e743a204d6f7a696c6c612f352e30202857696e646f7773204e542031302e303b2057696e36343b2078363429204170706c655765624b69742f3533372e333620284b48544d4c2c206c696b65204765636b6f29204368726f6d652f3134362e302e302e30205361666172692f3533372e33360d0a4163636570742d456e636f64696e673a20677a69702c206465666c6174652c2062722c207a7374640d0a4163636570742d4c616e67756167653a2065732d55532c65732d3431393b713d302e392c65733b713d302e380d0a43616368652d436f6e74726f6c3a206e6f2d63616368650d0a436f6e6e656374696f6e3a20557067726164650d0a4f726967696e3a2068747470733a2f2f636f6c61622e72657365617263682e676f6f676c652e636f6d0d0a507261676d613a206e6f2d63616368650d0a5365632d576562736f636b65742d457874656e73696f6e733a207065726d6573736167652d6465666c6174653b20636c69656e745f6d61785f77696e646f775f626974730d0a5365632d576562736f636b65742d4b65793a2078704f3376717554554a364f612b56514753392f42413d3d0d0a5365632d576562736f636b65742d56657273696f6e3a2031330d0a557067726164653a20776562736f636b65740d0a5669613a20312e3120676f6f676c650d0a582d436c6f75642d54726163652d436f6e746578743a2064363935303432303533373830316238643131333130353632646538326533382f3634383331343331343637353532303239330d0a0d0a</t>
  </si>
  <si>
    <t>172.28.0.12:8080 -&gt; 172.28.0.1:44464</t>
  </si>
  <si>
    <t xml:space="preserve">HTTP/1.1 101 Switching Protocols_x000D_
Upgrade: websocket_x000D_
Connection: Upgrade_x000D_
Sec-WebSocket-Accept: pM5GMg52FTQocMJC9ny+1Em3mbs=_x000D_
_x000D_
</t>
  </si>
  <si>
    <t>485454502f312e312031303120537769746368696e672050726f746f636f6c730d0a557067726164653a20776562736f636b65740d0a436f6e6e656374696f6e3a20557067726164650d0a5365632d576562536f636b65742d4163636570743a20704d35474d6735324654516f634d4a43396e792b31456d336d62733d0d0a0d0a</t>
  </si>
  <si>
    <t>..
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</si>
  <si>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81fe0a12f191e29b8ab38ffe85f98dffd3abc0f29ff896f290fd8be194b3ceb998f5c0a1c0bdc0eb90e383f682b3d8e0d3e190f492f491e8b8f5c0a19fe48ef7ddb390f49ee5b7e998b3d8f584fd8eb7d3e590fa92f4c0a1d3fc87e882f085fe82b3ceb992f092fa93f88ef285f887e8d3ab99b985f49aefb5fe81ee9cf48cefd3ab99b992fe8feb9df496f29effc0a18ab386e29ff08ff292c387fc98e296e990e58bf49fb3d8ef83e487b7d3f28df681fd87ef98fe8cd285f48fb9cbeac0e89ff892eb94e5b1ee81e18de985b3d8ef83e487b7d3f28df69cf896d899f090fa92e587e982c297eb81fe90efd3ab96e984f4ceb995fe81ee9cf48cef90e58bf49fd78de99cf096b9cbcac0f690e389ff9ee68cb9ddb392f790f88cef94e996b9acbdc0ff94e190fe92f096fe95c297eb81fe90efd3ab96e984f4ceb981e387e894fd87f885c297eb81fe90efd3ab96e984f4ceb985f085c884e192f483e5c0a18ab394fa9de487c894e5c0a1aaa0bfe68cbdc0f89efc92f794e58bf49fd896fe9cda8bf595b3d8e0d3e783f784f4b1fe85b3d8c0c0bdd0b7c2bdd6b7c4bdd4b7c6bddab7c8bdd3abdda0d3b7c0a3ceaac2bdd3afdda0d7b7c0a7ceaac6bdd3a3dda0dbb7c3a1cea9c0bdd0a9dda3d1b7c3a5cea9c4cc9fb7d3f28df585f49aefa2e492eb9ee396b9cbe590ee94ecceb999fe94fe83b3d8e0d3f59bf590fc8bf8a3f485f282e590fa85f88df5d3ab96e984f4ceb992fe8cef94ff96dd9ee38ffa85b3d8c0d3fc83e99af58dec9fb3ceb981fd83f29fe587e385b3bfe6ddb391f296ff83ef84e387d394fd92b9cbeac0ff88ff83f698f2b0fe96f891ef83f096f29effc0a185e397feddb391f296ff83ef84e387d29ff78de99cf096f29effc0a18ab386f492e48ffe9fe583ef98fe8cdd9ee38ffa85b3d8c0d3fc83e99af58dec9fb3ceb981fd83f29fe587e385b3bfb7d3e183e990fc87ef94e3abf597fe90f690e58bf49fb3d8e0d3fd83f994fdadfd97e287efa2e492eb9ee396b9cbe590ee94ecceb990f296f287f4b2fa83f08ffe85f490c884e192f483e5c0a185e397fe8cbdc0f89eff96fe89e5b1ee81e18de985b3d8ef83e487e6ddb386fe97f88cf285f88df5d3ab99b995e88cfa9cf881c994f68be885e383ef98fe8cb9cbe590ee94bdc0f798ff89c884e192f483e5c0a185e397fe8cbdc0e994f787e994ff81fe82b3d8e0d3f59bf590fc8bf8a3f485f282e590fa85f88df5d3ab96e984f49fb7d3f58df884fc87f585d98bfc99fd8bfc99e5c0a18ab386e29ff08ff292c387fc98e296e990e58bf49fb3d8ef83e487e6ddb386f492e48ffe9fe5b1e29cf38df7d3ab99b995e88cfa9cf881c994f68be885e383ef98fe8cb9cbe590ee94bdc0e888fc80f49dda8bf595b3d8e0d3e783f784f4b1fe85b3d8c0c0bdd0b7c2bdd6b7c4bdd4b7c6bddab7c8bdd3abdda0d3b7c0a3ceaac2bdd3afdda0d7b7c0a7ceaac6bdd3a3dda0dbb7c3a1cea9c0bdd0a9dda3d1b7c3a5cea9c4bdd0adacecceb999f887e990e381f398f283f7b5fe81ee9cf48cefa2e88ff99efdb1ee81e18de985b3d8ef83e487b7d3e583fca2e492eb9ee396b9cbeac0ed90fd97fea2f496b9cbcad3c68cecceb992fe86feb0f296f29effc0a18ab386e29ff08ff292c387fc98e296e990e58bf49fb3d8ef83e487b7d3f891cb83f484fe83e387ffa2e492eb9ee396b9cbe590ee94bdc0f89ef587da92e58bf49fdd8bef94e383f7a2e492eb9ee396b9cbeac0f89ef587da92e58bf49fda8bf595b3d8e0d3e783f784f4b1fe85b3d8c0d3b3ceb980e48bf89af78be3d3bdc0e994f783f885fe90b9ddb390fe97f081ef9ee3ccfe89e590fa92e5c0b7d3e387fd90f296f483bf8bf59df88cfed3bdc0e994f783f885fe90b583f495e998e587b9ddb391f484e381fed3bdc0e89ee490f894bf8de996f08cf28bf4abf681fe90ef82b3bfe68cecceb992fe86febdf48ce8d3ab99b995e88cfa9cf881c994f68be885e383ef98fe</t>
  </si>
  <si>
    <t>.w{"method":"window/logMessage","params":{"type":3,"message":"Pyright language server 1.1.407 starting"},"jsonrpc":"2.0"}</t>
  </si>
  <si>
    <t>81777b226d6574686f64223a2277696e646f772f6c6f674d657373616765222c22706172616d73223a7b2274797065223a332c226d657373616765223a2250797269676874206c616e67756167652073657276657220312e312e343037207374617274696e67227d2c226a736f6e727063223a22322e30227d</t>
  </si>
  <si>
    <t>.~..{"method":"window/logMessage","params":{"type":3,"message":"Server root directory: file:///datalab/web/pyright"},"jsonrpc":"2.0"}</t>
  </si>
  <si>
    <t>817e00817b226d6574686f64223a2277696e646f772f6c6f674d657373616765222c22706172616d73223a7b2274797065223a332c226d657373616765223a2253657276657220726f6f74206469726563746f72793a2066696c653a2f2f2f646174616c61622f7765622f70797269676874227d2c226a736f6e727063223a22322e30227d</t>
  </si>
  <si>
    <t>.~..</t>
  </si>
  <si>
    <t>817e0416</t>
  </si>
  <si>
    <t>{"id":1,"result":{"capabilities":{"textDocumentSync":2,"definitionProvider":{"workDoneProgress":true},"declarationProvider":{"workDoneProgress":true},"typeDefinitionProvider":{"workDoneProgress":true},"referencesProvider":{"workDoneProgress":true},"documentSymbolProvider":{"workDoneProgress":true},"workspaceSymbolProvider":{"workDoneProgress":true},"hoverProvider":{"workDoneProgress":true},"documentHighlightProvider":{"workDoneProgress":true},"renameProvider":{"prepareProvider":true,"workDoneProgress":true},"completionProvider":{"triggerCharacters":[".","[","\"","'"],"resolveProvider":true,"workDoneProgress":true,"completionItem":{"labelDetailsSupport":true}},"signatureHelpProvider":{"triggerCharacters":["(",",",")"],"workDoneProgress":true},"codeActionProvider":{"codeActionKinds":["quickfix","source.organizeImports"],"workDoneProgress":true},"executeCommandProvider":{"commands":[],"workDoneProgress":true},"callHierarchyProvider":true,"workspace":{"workspaceFolders":{"supported":true,"changeNotifications":true}}}},"jsonrpc":"2.0"}</t>
  </si>
  <si>
    <t>7b226964223a312c22726573756c74223a7b226361706162696c6974696573223a7b2274657874446f63756d656e7453796e63223a322c22646566696e6974696f6e50726f7669646572223a7b22776f726b446f6e6550726f6772657373223a747275657d2c226465636c61726174696f6e50726f7669646572223a7b22776f726b446f6e6550726f6772657373223a747275657d2c2274797065446566696e6974696f6e50726f7669646572223a7b22776f726b446f6e6550726f6772657373223a747275657d2c227265666572656e63657350726f7669646572223a7b22776f726b446f6e6550726f6772657373223a747275657d2c22646f63756d656e7453796d626f6c50726f7669646572223a7b22776f726b446f6e6550726f6772657373223a747275657d2c22776f726b737061636553796d626f6c50726f7669646572223a7b22776f726b446f6e6550726f6772657373223a747275657d2c22686f76657250726f7669646572223a7b22776f726b446f6e6550726f6772657373223a747275657d2c22646f63756d656e74486967686c6967687450726f7669646572223a7b22776f726b446f6e6550726f6772657373223a747275657d2c2272656e616d6550726f7669646572223a7b227072657061726550726f7669646572223a747275652c22776f726b446f6e6550726f6772657373223a747275657d2c22636f6d706c6574696f6e50726f7669646572223a7b227472696767657243686172616374657273223a5b222e222c225b222c225c22222c2227225d2c227265736f6c766550726f7669646572223a747275652c22776f726b446f6e6550726f6772657373223a747275652c22636f6d706c6574696f6e4974656d223a7b226c6162656c44657461696c73537570706f7274223a747275657d7d2c227369676e617475726548656c7050726f7669646572223a7b227472696767657243686172616374657273223a5b2228222c222c222c2229225d2c22776f726b446f6e6550726f6772657373223a747275657d2c22636f6465416374696f6e50726f7669646572223a7b22636f6465416374696f6e4b696e6473223a5b22717569636b666978222c22736f757263652e6f7267616e697a65496d706f727473225d2c22776f726b446f6e6550726f6772657373223a747275657d2c2265786563757465436f6d6d616e6450726f7669646572223a7b22636f6d6d616e6473223a5b5d2c22776f726b446f6e6550726f6772657373223a747275657d2c2263616c6c48696572617263687950726f7669646572223a747275652c22776f726b7370616365223a7b22776f726b7370616365466f6c64657273223a7b22737570706f72746564223a747275652c226368616e67654e6f74696669636174696f6e73223a747275657d7d7d7d2c226a736f6e727063223a22322e30227d</t>
  </si>
  <si>
    <t>..:&lt; KA.M.NTO/..."TUT"[PI1_X.g.LA9[QSi.G]g.VS$TNP(...y...6...4$..._...P.......K...T.......g...C...J...Q...M.......V.......W...M.......T...K..._...E...M..._...E...W...t...M...A...........A...V.......S...M...........B...E...J...y...M...H...........A...@...L.......G...A...@...E...........K.......A...M...V...P...E...Y...K...R.......V...C...W...K...M...V...`...L...M.......G...H...b...P...t...J...B...A...Q...I...P...T...M.......Q...E...w...G...P.......A...P...E.......T...W...@...J...M...@.......J...A...H.......V...P...........h...E...K...K...T.......A...]...L...M...K.......B...@...J...M...R...P...A...@.......Y.......J.......
.....	....=...X...Y...I...y...P.......r.......\...N.......I...H...I...........S...R.......Y.......Q...H...t.......U.......O...S.......X.......R...m...R...P...I...I...D...S...O...t...U...Y...Q...T...O...T...\.......a...M...T...\...H...\...T.......a.......a.......a...\...Z...H...I...L.......I...I...N...Q...........Y...a...........Y...^...P...T...U...N..._x000D_...J...N...Z...^...^...........S...P...I...D...N...M.......r...^...\...Q...Y.......I...X...O...\...Q...S.......P...Q...d.......Q...S.......M...I...p...Q...X...O...R...^...\...a...S.......S...H...M...Q...M...M...O.......\...O...X...T...a...S...N...Z...X...O...K...M...a...R...R...X...Q...T...O...T...a...Q...Y...Q.......N...Z...^...^...........S...H...I...H.......I...............T...b.......M...M...Y...O...........T...O...R...I...P...I...P...T...O...\</t>
  </si>
  <si>
    <t>81b43a3c204b411e4d2e4e544f2f18060222545554225b5049315f580267184c41395b51536900475d6718565324544e502818060279140c023681fe023424dcfdf55ffe909050b4929106e6df824bae968654bd9e900bb8949167b49c9b43b9be9a4aba949251ae9c814db393d708fe8d9456bd908606e686d757b989814db29a8606e686d754a5899d4bb2dfcf5ffe9c9b45b084864dafdfcf5ffe999c45bb939a57a8949674a99f994daf95b141b09c8c06e6ccc514ecd1d741ae8f9a56afdfcf7f81d1d753bd8f9b4db29a8606e6a6a808fe949b42b38f9845a8949a4afec7ae79f0df914daf9c9748b999d71e87a0d906a8848541af9590408c9c814cafdfcf7f81d1d747bd9e9d419a929940b98fa545a895d71efedfd906b198984bae84d71ea7df9e41b98db94dbe8f9456a5bc8650fec79345b08e9059f0df994bbbb19052b991d71efeaa9456b2949b43fed1d757a590974bb08ebd4db98f9456bf958c60b98d814c9094984da8dfcf15ecd1d747b3908548b9899062a9939650b5929b74bd8f904aafdfcf42bd918641f0df9451a892bc49ac9287509f929854b098814db3938606e6898751b9d1d745a9899a77b99c8747b4ad9450b48ed71ea88f8041f0df8650a99fa545a895d71efe898c54b5939257fed1d740b59c924ab38e814dbfb09a40b9dfcf06b38d904a9a949941afb29b48a5dfd906b9858156bdad9450b48ed71e87a0d906a98e9068b59f8745ae84b64bb898b34baea98c54b98ed71ea88f8041f0df815dac98b64cb99e9e4db29ab84bb898d71efe929342fed1d740b59c924ab38e814dbfae9052b98f9c50a5b28341ae8f9c40b98ed71ea7808859a180d906b68e9a4aae8d9606e6dfc70aecdf8881fe09bcaefda83dd5dfc558da95c7598cc78a49cb85dc79c19edd50cb93dc12ca94cc72de98c61f82dfd85cdc9cc54e8cc7d31fda98d049ea92cb48c398c6498cc7d31fdb8fc11f94dfc153c398c552dc8492128190c759cb91870c8cd18a51cf93cf48cf9acd74cadf921fde84dc55c1938a118c8bcd4fdd94c7538cc7990e82dfdc58d6898a078c9bda52c3dde16dd789c052c0ddc150de92da498e9acd49f194d844da95c753f293ce4fc1908874fe84dc55c1938659c78ed851cf848854c38dc74fdaddcc54dd8dc45cd7a1c61e8ed88d61c0dc884dc78d8854c08edc5cc2918848c289da5cc284dc54cd8e8810dfa1c661c0a1c61e8ed88d61c0a1c61e8ed88d61c0dc885cde89855acb898848de99c949cbdd854cdfdd8e1b8e9cd849839acd498e94c64eda9cc4518ed0d11d838cd91dda9ed859db90d861c0de88188ba1c61c8e8edd59c1dddc5ede99dd50dedd85548e98dc559edd854e8ecc9d0d9edd854a8e99cd4ecd9cda5acfa2dc5eded3d85ecf8d881bf2938b1d8bd8f453c88fc7508e88c449dc9cc444da94cb4e8e94c54dc18fdc1df7b2e472f2938b5ecf8fcf5cdcddcd518e90c759cb91c71d8698db49c1ddcc58dd9ec94fc99cda5c8984c751c18b9053808ddc1a87a1c650c199cd518ec08864e1b1e7158984c751c18b9053808ddc1a87a1c64ddc94c64986a18a70c199cd51c1ddcc58dd9ec94fc99ccc528e84885ecf8fcf5cca9286618cd4f453f2938b1d8bd8f4538fdddb48ca92884dc594c4518e89cb4dca88c54df293d84fc793dc15f2dfcb5cde89dd4fcfddcc58da98c654ca9c86618cd4f4538d99cd4ecd9cda5acf8f8858c2ddc94fcd95c14bc1dd864dcd9cd861c09bda52c3ddcf52c19ac458809ec751cf9f8854c38dc74fdaddce54c298db61c09bc151cb8e8659c18ac651c19ccc158999cd4ecd9cda5acfa2dc5eded3d85ecf8d8f14f2938b1d8bd8f4538fdddb48ca928849cd8dcc48c38d8810c7ddcd49c6cd8810dddd99089ecd8810d9ddde54ca98c762db99d813de9ec94d8e88cc4d8e9cc6598e8dc74fdadd990f9dc99d1d88a1c654c38dc74fdadddb52cd96cd49f293c150de92da498e89c150cba1c654c38dc74fdaddda5c</t>
  </si>
  <si>
    <t>.~.#{"method":"client/registerCapability","params":{"registrations":[{"id":"e9b537aa-8d6d-46bd-840e-b2b015ed0dbe","method":"workspace/didChangeWatchedFiles","registerOptions":{"watchers":[{"globPattern":"**/pyrightconfig.json","kind":7},{"globPattern":"**","kind":7}]}}]},"id":0,"jsonrpc":"2.0"}</t>
  </si>
  <si>
    <t>817e01237b226d6574686f64223a22636c69656e742f72656769737465724361706162696c697479222c22706172616d73223a7b22726567697374726174696f6e73223a5b7b226964223a2265396235333761612d386436642d343662642d383430652d623262303135656430646265222c226d6574686f64223a22776f726b73706163652f6469644368616e67655761746368656446696c6573222c2272656769737465724f7074696f6e73223a7b227761746368657273223a5b7b22676c6f625061747465726e223a222a2a2f70797269676874636f6e6669672e6a736f6e222c226b696e64223a377d2c7b22676c6f625061747465726e223a222a2a222c226b696e64223a377d5d7d7d5d7d2c226964223a302c226a736f6e727063223a22322e30227d</t>
  </si>
  <si>
    <t>.~.#{"method":"client/registerCapability","params":{"registrations":[{"id":"3f25716d-dcf5-4247-8a4a-c60af55bbd62","method":"workspace/didChangeWatchedFiles","registerOptions":{"watchers":[{"globPattern":"**/pyrightconfig.json","kind":7},{"globPattern":"**","kind":7}]}}]},"id":1,"jsonrpc":"2.0"}</t>
  </si>
  <si>
    <t>817e01237b226d6574686f64223a22636c69656e742f72656769737465724361706162696c697479222c22706172616d73223a7b22726567697374726174696f6e73223a5b7b226964223a2233663235373136642d646366352d343234372d386134612d633630616635356262643632222c226d6574686f64223a22776f726b73706163652f6469644368616e67655761746368656446696c6573222c2272656769737465724f7074696f6e73223a7b227761746368657273223a5b7b22676c6f625061747465726e223a222a2a2f70797269676874636f6e6669672e6a736f6e222c226b696e64223a377d2c7b22676c6f625061747465726e223a222a2a222c226b696e64223a377d5d7d7d5d7d2c226964223a312c226a736f6e727063223a22322e30227d</t>
  </si>
  <si>
    <t>.~..{"method":"window/logMessage","params":{"type":3,"message":"Starting service instance \"\u003cdefault\u003e\""},"jsonrpc":"2.0"}</t>
  </si>
  <si>
    <t>817e00807b226d6574686f64223a2277696e646f772f6c6f674d657373616765222c22706172616d73223a7b2274797065223a332c226d657373616765223a225374617274696e67207365727669636520696e7374616e6365205c225c753030336364656661756c745c75303033655c22227d2c226a736f6e727063223a22322e30227d</t>
  </si>
  <si>
    <t>.e{"method":"workspace/configuration","params":{"items":[{"section":"python"}]},"id":2,"jsonrpc":"2.0"}</t>
  </si>
  <si>
    <t>81657b226d6574686f64223a22776f726b73706163652f636f6e66696775726174696f6e222c22706172616d73223a7b226974656d73223a5b7b2273656374696f6e223a22707974686f6e227d5d7d2c226964223a322c226a736f6e727063223a22322e30227d</t>
  </si>
  <si>
    <t>....vn..........LL..FL.........._x000D_....
..F.</t>
  </si>
  <si>
    <t>81a4c6d5766ebdf71c1da9bb041ea5f74c4cf4fb464ceaf7040bb5a01a1ae4ef0d13eaf71f0ae4ef4613</t>
  </si>
  <si>
    <t>..6=..M...YS..U...........EH...................2.....m.\.n...&lt;...&lt;...{.G.j...e.S...K.w...e.V...\.m.[.N.P.w.Z.{.S.&lt;.......{.@.l...E...i.@.w.U.&lt;.i.2.[.x.@...[.p...C...w.S.r.V.$.o.&lt;.K.{.Z.z.S.v...E...}.Q.{.].z.@...Z.$...&lt;.W.q.K.$...{.B.w.@.l.s.j.....A.c...q.~.h.^.$.e.l.[.y...m._.q.A.w.@.l.Z.Z.B.v.[.w.../...}._.r.F.X.\.j.].N.@.p...x.^.{...k.].s.].j.].n.W.w.\.&lt;.F.k.....F.M.S.}.b.j.A.$.@.{...j.P...Z.$.F.n.\.m...z.S.p.A.w...z...&lt;.B.p.[.{.}.r...&lt;.J.l.b.j.A.$.o.&lt;.A.R.P...K.q.W.q.f.n.A.$.@.{...g.W.v.Q.w.U.q.W.$.].x...z.S.p.A.w.a.h.@.j.}.{.@.z.A.$.O.c...w...,.</t>
  </si>
  <si>
    <t>81a4363da0854d1fcaf65953d2f5551f9aa7041390a71a1fd2e04548ccf11407dbf81a1fc9e1140791f881fe01f9ea32cf1e9110a56d855cbd6e8910f53cd81cff3cc610bd7b9947a36ac8089465c853a17f864bbc779910f565c856a67f8d5ca06d9e5bac4e9f50a377995a8b7b8653b63cd003ff2eda1eed7b9840a06c9910f545b71eed698b40a1778455bc3cd0699232c85ba1788540a27f9e5ba070c8089443c610ab779953ad728f56ed24b16fe33c9e4bbf7b995aaa7aba53bb769910f545b71eed7d8b51a77bac5da37a8f409f7f9e5aed24c810e33c8757a271984bed249110a47b8f4283778840ae6c9373bc6ac808a97f8641aa63c610a3718d7eaa688f5eed24c865ae6c845ba179c81eed6d935fad71864187778f40ae6c895ab65a8f42bb76a65ba2779e10f52fda1eed7d855fbf728f46aa589f5cac6a835da14e8b40aa709910f5788b5ebc7bc610ae6b9e5d86739a5dbd6aa95da26e8657bb77855cbc3cd046bd6b8f1eed7f9f46a04d8f53bd7d8262ae6a8241ed249e40ba7bc610bc6a9f509f7f9e5aed24c846b66e835ca86dc81eed7a8353a8708541bb77897fa07a8f10f53c8542aa70ac5ba37b997da1729310e33c8f4abb6c8b62ae6a8241ed24b16fe33c9f41aa528350bd7f984b8c718e5789719866b66e8f41ed249e40ba7bc610bb679a578c768f51a477845582718e57ed24c85da978c81eed7a8353a8708541bb778961aa688f40a66a937db97b9840a67a8f41ed24914fb263b71eed778e10f52c97</t>
  </si>
  <si>
    <t>.~..{"method":"client/unregisterCapability","params":{"unregisterations":[{"id":"e9b537aa-8d6d-46bd-840e-b2b015ed0dbe","method":"workspace/didChangeWatchedFiles"}]},"id":3,"jsonrpc":"2.0"}</t>
  </si>
  <si>
    <t>817e00b87b226d6574686f64223a22636c69656e742f756e72656769737465724361706162696c697479222c22706172616d73223a7b22756e72656769737465726174696f6e73223a5b7b226964223a2265396235333761612d386436642d343662642d383430652d623262303135656430646265222c226d6574686f64223a22776f726b73706163652f6469644368616e67655761746368656446696c6573227d5d7d2c226964223a332c226a736f6e727063223a22322e30227d</t>
  </si>
  <si>
    <t>.n{"method":"workspace/configuration","params":{"items":[{"section":"python.analysis"}]},"id":4,"jsonrpc":"2.0"}</t>
  </si>
  <si>
    <t>816e7b226d6574686f64223a22776f726b73706163652f636f6e66696775726174696f6e222c22706172616d73223a7b226974656d73223a5b7b2273656374696f6e223a22707974686f6e2e616e616c79736973227d5d7d2c226964223a342c226a736f6e727063223a22322e30227d</t>
  </si>
  <si>
    <t>..2..]I...]..-Q........../@......&gt;]......o...q....A..8....@../...3A..-]..8V..q.......</t>
  </si>
  <si>
    <t>81cf32d38d5d49f1e72e5dbdff2d51f1b77f00fdbd7f1ef1e82f40bcff7f08a8af3e5db7e87f08febe6f04e3be7110bee82e41b2ea3810e9af1840a1e22f08f3f83341a6fd2d5da1f93856f1f07110bae97f08e0f0</t>
  </si>
  <si>
    <t>....).gHR._x000D_;F..8J.]j..Wj...-Z..&lt;..&lt;3...)N..;]...\..!Z.#-E..j..Wx..E-[..:Z.].t.E?H.	!G..j..:d..	.F.
)]..&amp;..&lt;....!Z..$L.Err.Kj]..-Z..,y.. Z.].t.E+H..-o..,L.7)].Er..KjD.
'[.ErR..-L.+!K..:P..&lt;...)E..5...'N..&gt;L.Er...:G.	/..E;P..'E./!L..:J...L.. e.
!].]y..E+F..$L...\..&lt;@.	.H..&amp;Z.].H..-...=]..%Y..&lt;j.
8E..!F..j...=L.E)\...L..+A..&lt;A.Er]..-...&lt;\.7)].Er...8@..;..E,@..&amp;F..!J..,L.]jF..&amp;o..-Z.	$P.KjL..:H..&lt;A.Err.Kj\...@..)[.$'M.!'[..8L.Er]..-...1Y.$ L..!G.*'M.Er......E,@..&amp;F..!J..&gt;L..&lt;P..-[..,L.ErR......,..S5</t>
  </si>
  <si>
    <t>81fe01ec29fb674852d90d3b469515384ad95d6a1bd5576a05d9152d5a8e0b3c0bc13c330b9f0e294e95083b5d9204185c990b215a93232d459a1e6a13ca577819d7452d5b89083a5ad95d1374d7453f48890921479c146a13a03a640b92092e46890a295d9208260bc13c1505d903215a9a05244c9f457272a64b6a5d82172d5a93022c799a13205ad95d1374d7452b48980f2d6f940b2c4c8937295d9345720bd94b6a449e0a275b82457252d90c2d4c8b2b214b89063a50ba143c0bc101294588023505d90b274eb7023e4c9745720bac063a4792092f0bd7453b5096052745882f214c89063a4a931e0c4c8b132065920a215dd95d7919d7452b469617244c8f020e5c95043c40940918488902265ad95d2e4897142d05d9063d5d942e255994153c6a940a38459e13214695146a138f153d4cd745295c8f081b4c9a152b41ab063c418845725d89122d05d9143c5c9937295d9345720b8f1e384095003b0bd7452c409a0026468813214ab6082c4cd95d6a468b02266f920b2d5ab4092450d94b6a4c83133a48ab063c4188457272a64b6a5c880204409915295b8224274d9e21275baf1e384c8845725d89122d05d91331599e24204c980c21479c2a274d9e45720b94012e0bd7452c409a0026468813214aa8023e4c890e3c50b4112d5b890e2c4c88457252861a1505d90e2c0bc15335</t>
  </si>
  <si>
    <t>.~..{"method":"window/logMessage","params":{"type":3,"message":"Un-registering request handler for e9b537aa-8d6d-46bd-840e-b2b015ed0dbe failed."},"jsonrpc":"2.0"}</t>
  </si>
  <si>
    <t>817e009e7b226d6574686f64223a2277696e646f772f6c6f674d657373616765222c22706172616d73223a7b2274797065223a332c226d657373616765223a22556e2d7265676973746572696e6720726571756573742068616e646c657220666f722065396235333761612d386436642d343662642d383430652d623262303135656430646265206661696c65642e227d2c226a736f6e727063223a22322e30227d</t>
  </si>
  <si>
    <t>.f{"method":"workspace/configuration","params":{"items":[{"section":"pyright"}]},"id":5,"jsonrpc":"2.0"}</t>
  </si>
  <si>
    <t>81667b226d6574686f64223a22776f726b73706163652f636f6e66696775726174696f6e222c22706172616d73223a7b226974656d73223a5b7b2273656374696f6e223a2270797269676874227d5d7d2c226964223a352c226a736f6e727063223a22322e30227d</t>
  </si>
  <si>
    <t>...Rj.yp..m&lt;..apP.0|Z..p..q'.. h1.w&gt;...p.. h_.</t>
  </si>
  <si>
    <t>81a802526adf797000ac6d3c18af617050fd307c5afd2e7018ba712706ab206831b1773e06822e7003bb20685fa2</t>
  </si>
  <si>
    <t>.....4.......\.~...n.L.^.W.w.Z.5.[...W.s.Z.6.].8...8.U.{.G. .....@.u.A...@. ...h...8.Z...[.c...w.P.v...g...{.S.8.O.i.U.n...8.].....6.W.{.U.n.F. .I.8.Z.8.O.v.Z.8._x000D_.8.\.h.W.....*.I.8.[.n.L.8.O.~.U.t.G.s.G. .i.8.Z.c...8.i.g...i.Z.j...8...8.</t>
  </si>
  <si>
    <t>81fe00e5b834be1ac316d37fcc5cd17e9a0e9c6edd4cca5ed757cb77dd5aca35db5bda7ff957ca73d75a9c369a5dda3882069238c855cc7bd5479c20c316ca7fc040fa75db41d37fd6409c20c316cb68d1168438d15ad37fd55bcc63821b9177d750db7697059c679416cc7bd653db38824f9c69cc55cc6e9a0ec538d45dd07f9a0e87369a57d67bca55dd6edd469c2088499238dd5ada38824f9c76d15adb38820d9238db5cdf68d957ca7fca16842ac5499238db5bd06edd4cca38824f9c7ed155d974d747ca73db479c20e3699238d75ad2639a0ee5389a69c3679416d469d75acc6adb1684388a1a8e38c5</t>
  </si>
  <si>
    <t>.&amp;{"id":2,"result":null,"jsonrpc":"2.0"}</t>
  </si>
  <si>
    <t>81267b226964223a322c22726573756c74223a6e756c6c2c226a736f6e727063223a22322e30227d</t>
  </si>
  <si>
    <t>.~..{"method":"window/logMessage","params":{"type":1,"message":"File or directory \"/\u003cdefault workspace root\u003e\" does not exist."},"jsonrpc":"2.0"}</t>
  </si>
  <si>
    <t>817e00987b226d6574686f64223a2277696e646f772f6c6f674d657373616765222c22706172616d73223a7b2274797065223a312c226d657373616765223a2246696c65206f72206469726563746f7279205c222f5c753030336364656661756c7420776f726b737061636520726f6f745c75303033655c2220646f6573206e6f742065786973742e227d2c226a736f6e727063223a22322e30227d</t>
  </si>
  <si>
    <t>......_..)2m.c0l.1}|.s+L.h*e.e+'.d;m.h+a.e}$.b;*.8s*.j-i.x}2.)+m...g.~2m..}2.)*z.)e*.e2m.d-q.$pe.o:d.:}u.)-i.l:*.p}{.j-|.1$*.b1m.1n9.)&lt;`.y&gt;k.n-*.;"$.n1l.1$*.b1m.1n9.)&lt;`.y&gt;k.n-*.;"u.)&lt;g..:p.)es.o6i.e0{.b&lt;{.1.U.)0f.r}2.)}U.vs*.x0f.{&lt;*.)m&amp;.)"</t>
  </si>
  <si>
    <t>81fe00e7d50b5f08ae29326da163306cf7317d7cb0732b4cba682a65b0652b27b6643b6d94682b61ba657d24f7623b2aef38732aa56a2d69b8787d32ae292b6dad7f1b67b67e326dbb7f7d32ae292a7abc29652abc65326db8642d71ef247065ba6f3a64fa3a7d75f9292d69bb6c3a2aef707d7ba16a2d7cf731242ab962316df7316e39f9293c60b4793e6ba16e2d2aef3b2224f76e316cf731242ab962316df7316e39f9293c60b4793e6ba16e2d2aef3b2275f9293c67bb7f3a70a1296573f76f3669b265307ba1623c7bf7310455f9293066b9727d328e297d55a876732abf783066a77b3c2aef296d26e52922</t>
  </si>
  <si>
    <t>.&amp;{"id":3,"result":null,"jsonrpc":"2.0"}</t>
  </si>
  <si>
    <t>81267b226964223a332c22726573756c74223a6e756c6c2c226a736f6e727063223a22322e30227d</t>
  </si>
  <si>
    <t>.....AD..c)..)+..{f..90.."1../0... .."0../f..( ..uh.. 6..2f..c0..5...4)..5f..c1..c~../)...6..nk..%!..pf..c6..&amp;!..:f.. 6..{?..(*..{u..c'..3%..$6..q9..$*..{?..(*..{u..c'..3%..$6..q9..c'..5!..c~..%-../+..('..{...c+..8f..cf..&lt;h..2+..1'..cv..c9</t>
  </si>
  <si>
    <t>81fe00e7fe4144ce856329ab8a292baadc7b66ba9b39308a912231a39b2f30e19d2e20abbf2230a7912f66e2dc2820ecc47568ec8e2036af933266f4856330ab863500a19d3429ab903566f4856331bc97637eec972f29ab932e36b7c46e6ba3912521a2d17066b3d26336af902621ecc43a66bd8a2036badc7b3fec92282aabdc7b75fdd26327a69f3325ad8a2436ecc47139e2dc242aaadc7b3fec92282aabdc7b75fdd26327a69f3325ad8a2436ecc47139b3d26327a1903521b68a637eb5dc252daf992f2bbd8a2827bddc7b1f93d2632ba0923866f4a5636693833c68ec94322ba08c3127ecc46376e0ce6339</t>
  </si>
  <si>
    <t>.&amp;{"id":4,"result":null,"jsonrpc":"2.0"}</t>
  </si>
  <si>
    <t>81267b226964223a342c22726573756c74223a6e756c6c2c226a736f6e727063223a22322e30227d</t>
  </si>
  <si>
    <t>....q...
.......S...................0.......S...K...........
...	...........
...............K.......^...].......K.......S.......S...]...........K...S...S.......S...]...........K...]...........S...........S...].......*...............K...A..</t>
  </si>
  <si>
    <t>81fe00e771c0a7a20ae2cac705a8c8c653fa85d614b8d3e61ea3d2cf14aed38d12afc3c730a3d3cb1eae858e53a9c3804bf58b8001a1d5c31cb385980ae2d3c709b4e3cd12b5cac71fb485980ae2d2d018e29d8018aecac71cafd5db4bef88cf1ea4c2ce5ef185df5de2d5c31fa7c2804bbb85d105a1d5d653fadc801da9c9c753fa969b5de2c4ca10b2c6c105a5d5804bf0da8e53a5c9c653fadc801da9c9c753fa969b5de2c4ca10b2c6c105a5d5804bf0dadf5de2c4cd1fb4c2da05e29dd953a4cec316aec8d105a9c4d153fafcff5de2c8cc1db985982ae285ff0cbd8b801bb3c8cc03b0c4804be2958c41e2da</t>
  </si>
  <si>
    <t>.&amp;{"id":5,"result":null,"jsonrpc":"2.0"}</t>
  </si>
  <si>
    <t>81267b226964223a352c22726573756c74223a6e756c6c2c226a736f6e727063223a22322e30227d</t>
  </si>
  <si>
    <t>....9I..Bk~.M!|..s1.\1g.V*f.\'g.Z&amp;w.x*g.V'1.. w...?.I(a.T:1.Bkg.A=W.Z&lt;~.W=1.Bkf.Pk).P'~.T&amp;a..f&lt;.V-v..x1..ka.W.v..21.M(a..sh.U }..s!..kp.X;r.M,a..yn..,}..sh.U }..s!..kp.X;r.M,a..yn..kp.W=v.Mk)..-z.^'|.M p..sH..k|.U01.bk1.D4?.S:|.K9p..k!.	kn</t>
  </si>
  <si>
    <t>81fe00e7394913be426b7edb4d217cda1b7331ca5c3167fa562a66d35c2767915a2677db782a67d7562731921b20779c037f3f9c492861df543a3184426b67db413d57d15a3c7edb573d3184426b66cc506b299c50277edb542661c703663cd3562d76d2167831c3156b61df572e769c033231cd4d2861ca1b73689c55207ddb1b73218b156b70d6583b72dd4d2c619c03796e921b2c7dda1b73689c55207ddb1b73218b156b70d6583b72dd4d2c619c03796ec3156b70d1573d76c64d6b29c51b2d7adf5e277ccd4d2070cd1b7348e3156b7cd055303184626b31e344343f9c533a7cd04b39709c036b2190096b6e</t>
  </si>
  <si>
    <t>.&amp;{"id":6,"result":null,"jsonrpc":"2.0"}</t>
  </si>
  <si>
    <t>81267b226964223a362c22726573756c74223a6e756c6c2c226a736f6e727063223a22322e30227d</t>
  </si>
  <si>
    <t>172.28.0.1:42418 -&gt; 172.28.0.12:8080</t>
  </si>
  <si>
    <t xml:space="preserve">GET /api/colab/resources?authuser=0 HTTP/1.1_x000D_
Host: m-s-kkb-usw1b1-z7tu7na99e3g.us-west1-b.c.codatalab-user-runtimes.internal:8007_x000D_
User-Agent: Mozilla/5.0 (Windows NT 10.0; Win64; x64) AppleWebKit/537.36 (KHTML, like Gecko) Chrome/146.0.0.0 Safari/537.36_x000D_
Accept: */*_x000D_
Accept-Encoding: gzip, deflate, br, zstd_x000D_
Accept-Language: es-US,es-419;q=0.9,es;q=0.8_x000D_
Origin: https://colab.research.google.com_x000D_
Priority: u=1, i_x000D_
Referer: https://colab.research.google.com/_x000D_
Sec-Ch-Ua: "Chromium";v="146", "Not-A.Brand";v="24", "Google Chrome";v="146"_x000D_
Sec-Ch-Ua-Mobile: ?0_x000D_
Sec-Ch-Ua-Platform: "Windows"_x000D_
Sec-Fetch-Dest: empty_x000D_
Sec-Fetch-Mode: cors_x000D_
Sec-Fetch-Site: cross-site_x000D_
Sec-Fetch-Storage-Access: active_x000D_
Via: 1.1 google_x000D_
X-Cloud-Trace-Context: 2b8fed7cc957de1ce3180db867e1f043/2048511880900761783_x000D_
X-Colab-Client-Agent: web_x000D_
_x000D_
</t>
  </si>
  <si>
    <t>474554202f6170692f636f6c61622f7265736f75726365733f61757468757365723d3020485454502f312e310d0a486f73743a206d2d732d6b6b622d7573773162312d7a377475376e6139396533672e75732d77657374312d622e632e636f646174616c61622d757365722d72756e74696d65732e696e7465726e616c3a383030370d0a557365722d4167656e743a204d6f7a696c6c612f352e30202857696e646f7773204e542031302e303b2057696e36343b2078363429204170706c655765624b69742f3533372e333620284b48544d4c2c206c696b65204765636b6f29204368726f6d652f3134362e302e302e30205361666172692f3533372e33360d0a4163636570743a202a2f2a0d0a4163636570742d456e636f64696e673a20677a69702c206465666c6174652c2062722c207a7374640d0a4163636570742d4c616e67756167653a2065732d55532c65732d3431393b713d302e392c65733b713d302e380d0a4f726967696e3a2068747470733a2f2f636f6c61622e72657365617263682e676f6f676c652e636f6d0d0a5072696f726974793a20753d312c20690d0a526566657265723a2068747470733a2f2f636f6c61622e72657365617263682e676f6f676c652e636f6d2f0d0a5365632d43682d55613a20224368726f6d69756d223b763d22313436222c20224e6f742d412e4272616e64223b763d223234222c2022476f6f676c65204368726f6d65223b763d22313436220d0a5365632d43682d55612d4d6f62696c653a203f300d0a5365632d43682d55612d506c6174666f726d3a202257696e646f7773220d0a5365632d46657463682d446573743a20656d7074790d0a5365632d46657463682d4d6f64653a20636f72730d0a5365632d46657463682d536974653a2063726f73732d736974650d0a5365632d46657463682d53746f726167652d4163636573733a206163746976650d0a5669613a20312e3120676f6f676c650d0a582d436c6f75642d54726163652d436f6e746578743a2032623866656437636339353764653163653331383064623836376531663034332f323034383531313838303930303736313738330d0a582d436f6c61622d436c69656e742d4167656e743a207765620d0a0d0a</t>
  </si>
  <si>
    <t>172.28.0.12:8080 -&gt; 172.28.0.1:42418</t>
  </si>
  <si>
    <t>HTTP/1.1 200 OK_x000D_
access-control-allow-origin: *_x000D_
content-length: 183_x000D_
content-security-policy: frame-ancestors 'self'; report-uri /api/security/csp-report; default-src 'none'_x000D_
content-type: application/json_x000D_
date: Thu, 03 Sep 2026 00:07:46 GMT_x000D_
etag: "a2c7818a74b84685c7bc103f9676600cbf66b276"_x000D_
server: TornadoServer/6.5.7_x000D_
x-content-type-options: nosniff_x000D_
connection: close_x000D_
_x000D_
)]}'
{"memory": {"totalBytes": 13605830656, "freeBytes": 6864637952}, "disks": [{"filesystem": {"label": "kernel", "totalBytes": 115658190848, "usedBytes": 21686968320}}], "gpus": []}</t>
  </si>
  <si>
    <t>485454502f312e3120323030204f4b0d0a6163636573732d636f6e74726f6c2d616c6c6f772d6f726967696e3a202a0d0a636f6e74656e742d6c656e6774683a203138330d0a636f6e74656e742d73656375726974792d706f6c6963793a206672616d652d616e636573746f7273202773656c66273b207265706f72742d757269202f6170692f73656375726974792f6373702d7265706f72743b2064656661756c742d73726320276e6f6e65270d0a636f6e74656e742d747970653a206170706c69636174696f6e2f6a736f6e0d0a646174653a205468752c2030332053657020323032362030303a30373a343620474d540d0a657461673a202261326337383138613734623834363835633762633130336639363736363030636266363662323736220d0a7365727665723a20546f726e61646f5365727665722f362e352e370d0a782d636f6e74656e742d747970652d6f7074696f6e733a206e6f736e6966660d0a636f6e6e656374696f6e3a20636c6f73650d0a0d0a295d7d270a7b226d656d6f7279223a207b22746f74616c4279746573223a2031333630353833303635362c2022667265654279746573223a20363836343633373935327d2c20226469736b73223a205b7b2266696c6573797374656d223a207b226c6162656c223a20226b65726e656c222c2022746f74616c4279746573223a203131353635383139303834382c2022757365644279746573223a2032313638363936383332307d7d5d2c202267707573223a205b5d7d</t>
  </si>
  <si>
    <t>817e04d4</t>
  </si>
  <si>
    <t>{"method":"textDocument/publishDiagnostics","params":{"uri":"inmemory://model/1","version":13,"diagnostics":[{"range":{"start":{"line":3,"character":0},"end":{"line":3,"character":1}},"severity":1,"source":"Pyright","message":"Invalid character \"\\u21\" in token"},{"range":{"start":{"line":9,"character":0},"end":{"line":9,"character":1}},"severity":1,"source":"Pyright","message":"Invalid character \"\\u21\" in token"},{"range":{"start":{"line":11,"character":0},"end":{"line":11,"character":1}},"severity":1,"source":"Pyright","message":"Invalid character \"\\u21\" in token"},{"range":{"start":{"line":19,"character":0},"end":{"line":19,"character":1}},"severity":1,"source":"Pyright","message":"Invalid character \"\\u21\" in token"},{"range":{"start":{"line":25,"character":0},"end":{"line":25,"character":1}},"severity":1,"source":"Pyright","message":"Invalid character \"\\u21\" in token"},{"range":{"start":{"line":48,"character":0},"end":{"line":48,"character":1}},"severity":1,"source":"Pyright","message":"Invalid character \"\\u21\" in token"},{"range":{"start":{"line":77,"character":0},"end":{"line":77,"character":1}},"severity":1,"source":"Pyright","message":"Invalid character \"\\u21\" in token"}]},"jsonrpc":"2.0"}</t>
  </si>
  <si>
    <t>7b226d6574686f64223a2274657874446f63756d656e742f7075626c697368446961676e6f7374696373222c22706172616d73223a7b22757269223a22696e6d656d6f72793a2f2f6d6f64656c2f31222c2276657273696f6e223a31332c22646961676e6f7374696373223a5b7b2272616e6765223a7b227374617274223a7b226c696e65223a332c22636861726163746572223a307d2c22656e64223a7b226c696e65223a332c22636861726163746572223a317d7d2c227365766572697479223a312c22736f75726365223a2250797269676874222c226d657373616765223a22496e76616c696420636861726163746572205c225c5c7532315c2220696e20746f6b656e227d2c7b2272616e6765223a7b227374617274223a7b226c696e65223a392c22636861726163746572223a307d2c22656e64223a7b226c696e65223a392c22636861726163746572223a317d7d2c227365766572697479223a312c22736f75726365223a2250797269676874222c226d657373616765223a22496e76616c696420636861726163746572205c225c5c7532315c2220696e20746f6b656e227d2c7b2272616e6765223a7b227374617274223a7b226c696e65223a31312c22636861726163746572223a307d2c22656e64223a7b226c696e65223a31312c22636861726163746572223a317d7d2c227365766572697479223a312c22736f75726365223a2250797269676874222c226d657373616765223a22496e76616c696420636861726163746572205c225c5c7532315c2220696e20746f6b656e227d2c7b2272616e6765223a7b227374617274223a7b226c696e65223a31392c22636861726163746572223a307d2c22656e64223a7b226c696e65223a31392c22636861726163746572223a317d7d2c227365766572697479223a312c22736f75726365223a2250797269676874222c226d657373616765223a22496e76616c696420636861726163746572205c225c5c7532315c2220696e20746f6b656e227d2c7b2272616e6765223a7b227374617274223a7b226c696e65223a32352c22636861726163746572223a307d2c22656e64223a7b226c696e65223a32352c22636861726163746572223a317d7d2c227365766572697479223a312c22736f75726365223a2250797269676874222c226d657373616765223a22496e76616c696420636861726163746572205c225c5c7532315c2220696e20746f6b656e227d2c7b2272616e6765223a7b227374617274223a7b226c696e65223a34382c22636861726163746572223a307d2c22656e64223a7b226c696e65223a34382c22636861726163746572223a317d7d2c227365766572697479223a312c22736f75726365223a2250797269676874222c226d657373616765223a22496e76616c696420636861726163746572205c225c5c7532315c2220696e20746f6b656e227d2c7b2272616e6765223a7b227374617274223a7b226c696e65223a37372c22636861726163746572223a307d2c22656e64223a7b226c696e65223a37372c22636861726163746572223a317d7d2c227365766572697479223a312c22736f75726365223a2250797269676874222c226d657373616765223a22496e76616c696420636861726163746572205c225c5c7532315c2220696e20746f6b656e227d5d7d2c226a736f6e727063223a22322e30227d</t>
  </si>
  <si>
    <t>172.28.0.1:55976 -&gt; 172.28.0.12:8080</t>
  </si>
  <si>
    <t xml:space="preserve">GET /api/colab/resources?authuser=0 HTTP/1.1_x000D_
Host: m-s-kkb-usw1b1-z7tu7na99e3g.us-west1-b.c.codatalab-user-runtimes.internal:8007_x000D_
User-Agent: Mozilla/5.0 (Windows NT 10.0; Win64; x64) AppleWebKit/537.36 (KHTML, like Gecko) Chrome/146.0.0.0 Safari/537.36_x000D_
Accept: */*_x000D_
Accept-Encoding: gzip, deflate, br, zstd_x000D_
Accept-Language: es-US,es-419;q=0.9,es;q=0.8_x000D_
Origin: https://colab.research.google.com_x000D_
Priority: u=1, i_x000D_
Referer: https://colab.research.google.com/_x000D_
Sec-Ch-Ua: "Chromium";v="146", "Not-A.Brand";v="24", "Google Chrome";v="146"_x000D_
Sec-Ch-Ua-Mobile: ?0_x000D_
Sec-Ch-Ua-Platform: "Windows"_x000D_
Sec-Fetch-Dest: empty_x000D_
Sec-Fetch-Mode: cors_x000D_
Sec-Fetch-Site: cross-site_x000D_
Sec-Fetch-Storage-Access: active_x000D_
Via: 1.1 google_x000D_
X-Cloud-Trace-Context: a7a727c6b893d5d0e2ff7a45095f7b0b/8031097430355345995_x000D_
X-Colab-Client-Agent: web_x000D_
_x000D_
</t>
  </si>
  <si>
    <t>474554202f6170692f636f6c61622f7265736f75726365733f61757468757365723d3020485454502f312e310d0a486f73743a206d2d732d6b6b622d7573773162312d7a377475376e6139396533672e75732d77657374312d622e632e636f646174616c61622d757365722d72756e74696d65732e696e7465726e616c3a383030370d0a557365722d4167656e743a204d6f7a696c6c612f352e30202857696e646f7773204e542031302e303b2057696e36343b2078363429204170706c655765624b69742f3533372e333620284b48544d4c2c206c696b65204765636b6f29204368726f6d652f3134362e302e302e30205361666172692f3533372e33360d0a4163636570743a202a2f2a0d0a4163636570742d456e636f64696e673a20677a69702c206465666c6174652c2062722c207a7374640d0a4163636570742d4c616e67756167653a2065732d55532c65732d3431393b713d302e392c65733b713d302e380d0a4f726967696e3a2068747470733a2f2f636f6c61622e72657365617263682e676f6f676c652e636f6d0d0a5072696f726974793a20753d312c20690d0a526566657265723a2068747470733a2f2f636f6c61622e72657365617263682e676f6f676c652e636f6d2f0d0a5365632d43682d55613a20224368726f6d69756d223b763d22313436222c20224e6f742d412e4272616e64223b763d223234222c2022476f6f676c65204368726f6d65223b763d22313436220d0a5365632d43682d55612d4d6f62696c653a203f300d0a5365632d43682d55612d506c6174666f726d3a202257696e646f7773220d0a5365632d46657463682d446573743a20656d7074790d0a5365632d46657463682d4d6f64653a20636f72730d0a5365632d46657463682d536974653a2063726f73732d736974650d0a5365632d46657463682d53746f726167652d4163636573733a206163746976650d0a5669613a20312e3120676f6f676c650d0a582d436c6f75642d54726163652d436f6e746578743a2061376137323763366238393364356430653266663761343530393566376230622f383033313039373433303335353334353939350d0a582d436f6c61622d436c69656e742d4167656e743a207765620d0a0d0a</t>
  </si>
  <si>
    <t>172.28.0.12:8080 -&gt; 172.28.0.1:55976</t>
  </si>
  <si>
    <t>HTTP/1.1 200 OK_x000D_
access-control-allow-origin: *_x000D_
content-length: 184_x000D_
content-security-policy: frame-ancestors 'self'; report-uri /api/security/csp-report; default-src 'none'_x000D_
content-type: application/json_x000D_
date: Thu, 03 Sep 2026 00:07:56 GMT_x000D_
etag: "9060d852ad2d135f0546e0d484b57e47a492b788"_x000D_
server: TornadoServer/6.5.7_x000D_
x-content-type-options: nosniff_x000D_
connection: close_x000D_
_x000D_
)]}'
{"memory": {"totalBytes": 13605830656, "freeBytes": 12305330176}, "disks": [{"filesystem": {"label": "kernel", "totalBytes": 115658190848, "usedBytes": 21686972416}}], "gpus": []}</t>
  </si>
  <si>
    <t>485454502f312e3120323030204f4b0d0a6163636573732d636f6e74726f6c2d616c6c6f772d6f726967696e3a202a0d0a636f6e74656e742d6c656e6774683a203138340d0a636f6e74656e742d73656375726974792d706f6c6963793a206672616d652d616e636573746f7273202773656c66273b207265706f72742d757269202f6170692f73656375726974792f6373702d7265706f72743b2064656661756c742d73726320276e6f6e65270d0a636f6e74656e742d747970653a206170706c69636174696f6e2f6a736f6e0d0a646174653a205468752c2030332053657020323032362030303a30373a353620474d540d0a657461673a202239303630643835326164326431333566303534366530643438346235376534376134393262373838220d0a7365727665723a20546f726e61646f5365727665722f362e352e370d0a782d636f6e74656e742d747970652d6f7074696f6e733a206e6f736e6966660d0a636f6e6e656374696f6e3a20636c6f73650d0a0d0a295d7d270a7b226d656d6f7279223a207b22746f74616c4279746573223a2031333630353833303635362c2022667265654279746573223a2031323330353333303137367d2c20226469736b73223a205b7b2266696c6573797374656d223a207b226c6162656c223a20226b65726e656c222c2022746f74616c4279746573223a203131353635383139303834382c2022757365644279746573223a2032313638363937323431367d7d5d2c202267707573223a205b5d7d</t>
  </si>
  <si>
    <t>172.28.0.1:50558 -&gt; 172.28.0.12:6000</t>
  </si>
  <si>
    <t xml:space="preserve">GET /debug/vars HTTP/1.1_x000D_
Host: 172.28.0.12:6000_x000D_
User-Agent: Go-http-client/1.1_x000D_
Accept-Encoding: gzip_x000D_
_x000D_
</t>
  </si>
  <si>
    <t>474554202f64656275672f7661727320485454502f312e310d0a486f73743a203137322e32382e302e31323a363030300d0a557365722d4167656e743a20476f2d687474702d636c69656e742f312e310d0a4163636570742d456e636f64696e673a20677a69700d0a0d0a</t>
  </si>
  <si>
    <t>172.28.0.12:6000 -&gt; 172.28.0.1:50558</t>
  </si>
  <si>
    <t>HTTP/1.1 200 OK_x000D_
Content-Type: application/json; charset=utf-8_x000D_
Date: Thu, 03 Sep 2026 00:07:57 GMT_x000D_
Transfer-Encoding: chunked_x000D_
_x000D_
125a_x000D_
{
"cmdline": ["/usr/colab/bin/kernel_manager_proxy","--listen_port=6000","--target_port=9000","--logtostderr","--listen_host=172.28.0.12","--target_host=172.28.0.12","--tunnel_background_save_url=https://colab.research.google.com/tun/m/cc48301118ce562b961b3c22d803539adc1e0c19/m-s-kkb-usw1b1-z7tu7na99e3g","--tunnel_background_save_delay=10s","--tunnel_periodic_background_save_frequency=30m0s","--enable_output_coalescing=true","--output_coalescing_required=true","--use_oneplatform_for_bg_save=true"],
"colab.active_executions": 1,
"colab.unacknowledged_executions": 1,
"memstats": {"Alloc":5903352,"TotalAlloc":9998960,"Sys":18786584,"Lookups":0,"Mallocs":60192,"Frees":26984,"HeapAlloc":5903352,"HeapSys":11862016,"HeapIdle":3964928,"HeapInuse":7897088,"HeapReleased":3260416,"HeapObjects":33208,"StackInuse":720896,"StackSys":720896,"MSpanInuse":116800,"MSpanSys":130560,"MCacheInuse":4592,"MCacheSys":16072,"BuckHashSys":1450520,"GCSys":3866880,"OtherSys":739640,"NextGC":12158410,"LastGC":1788394064929336497,"PauseTotalNs":2157795,"PauseNs":[443484,46141,90067,200333,91074,166909,124691,995096,0,0,0,0,0,0,0,0,0,0,0,0,0,0,0,0,0,0,0,0,0,0,0,0,0,0,0,0,0,0,0,0,0,0,0,0,0,0,0,0,0,0,0,0,0,0,0,0,0,0,0,0,0,0,0,0,0,0,0,0,0,0,0,0,0,0,0,0,0,0,0,0,0,0,0,0,0,0,0,0,0,0,0,0,0,0,0,0,0,0,0,0,0,0,0,0,0,</t>
  </si>
  <si>
    <t>485454502f312e3120323030204f4b0d0a436f6e74656e742d547970653a206170706c69636174696f6e2f6a736f6e3b20636861727365743d7574662d380d0a446174653a205468752c2030332053657020323032362030303a30373a353720474d540d0a5472616e736665722d456e636f64696e673a206368756e6b65640d0a0d0a313235610d0a7b0a22636d646c696e65223a205b222f7573722f636f6c61622f62696e2f6b65726e656c5f6d616e616765725f70726f7879222c222d2d6c697374656e5f706f72743d36303030222c222d2d7461726765745f706f72743d39303030222c222d2d6c6f67746f737464657272222c222d2d6c697374656e5f686f73743d3137322e32382e302e3132222c222d2d7461726765745f686f73743d3137322e32382e302e3132222c222d2d74756e6e656c5f6261636b67726f756e645f736176655f75726c3d68747470733a2f2f636f6c61622e72657365617263682e676f6f676c652e636f6d2f74756e2f6d2f636334383330313131386365353632623936316233633232643830333533396164633165306331392f6d2d732d6b6b622d7573773162312d7a377475376e613939653367222c222d2d74756e6e656c5f6261636b67726f756e645f736176655f64656c61793d313073222c222d2d74756e6e656c5f706572696f6469635f6261636b67726f756e645f736176655f6672657175656e63793d33306d3073222c222d2d656e61626c655f6f75747075745f636f616c657363696e673d74727565222c222d2d6f75747075745f636f616c657363696e675f72657175697265643d74727565222c222d2d7573655f6f6e65706c6174666f726d5f666f725f62675f736176653d74727565225d2c0a22636f6c61622e6163746976655f657865637574696f6e73223a20312c0a22636f6c61622e756e61636b6e6f776c65646765645f657865637574696f6e73223a20312c0a226d656d7374617473223a207b22416c6c6f63223a353930333335322c22546f74616c416c6c6f63223a393939383936302c22537973223a31383738363538342c224c6f6f6b757073223a302c224d616c6c6f6373223a36303139322c224672656573223a32363938342c2248656170416c6c6f63223a353930333335322c2248656170537973223a31313836323031362c224865617049646c65223a333936343932382c2248656170496e757365223a373839373038382c224865617052656c6561736564223a333236303431362c22486561704f626a65637473223a33333230382c22537461636b496e757365223a3732303839362c22537461636b537973223a3732303839362c224d5370616e496e757365223a3131363830302c224d5370616e537973223a3133303536302c224d4361636865496e757365223a343539322c224d4361636865537973223a31363037322c224275636b48617368537973223a313435303532302c224743537973223a333836363838302c224f74686572537973223a3733393634302c224e6578744743223a31323135383431302c224c6173744743223a313738383339343036343932393333363439372c225061757365546f74616c4e73223a323135373739352c2250617573654e73223a5b3434333438342c34363134312c39303036372c3230303333332c39313037342c3136363930392c3132343639312c3939353039362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302c</t>
  </si>
  <si>
    <t xml:space="preserve">ize":3072,"Mallocs":40,"Frees":13},{"Size":3200,"Mallocs":8,"Frees":6},{"Size":3456,"Mallocs":9,"Frees":1},{"Size":4096,"Mallocs":58,"Frees":33},{"Size":4864,"Mallocs":28,"Frees":10},{"Size":5376,"Mallocs":13,"Frees":4},{"Size":6144,"Mallocs":16,"Frees":4},{"Size":6528,"Mallocs":2,"Frees":0},{"Size":6784,"Mallocs":2,"Frees":2},{"Size":6912,"Mallocs":2,"Frees":1},{"Size":8192,"Mallocs":15,"Frees":6},{"Size":9472,"Mallocs":10,"Frees":4},{"Size":9728,"Mallocs":1,"Frees":0},{"Size":10240,"Mallocs":4,"Frees":2},{"Size":10880,"Mallocs":3,"Frees":1},{"Size":12288,"Mallocs":6,"Frees":3},{"Size":13568,"Mallocs":4,"Frees":0},{"Size":14336,"Mallocs":3,"Frees":0},{"Size":16384,"Mallocs":10,"Frees":3},{"Size":18432,"Mallocs":7,"Frees":5}]}
}
_x000D_
0_x000D_
_x000D_
</t>
  </si>
  <si>
    <t>697a65223a333037322c224d616c6c6f6373223a34302c224672656573223a31337d2c7b2253697a65223a333230302c224d616c6c6f6373223a382c224672656573223a367d2c7b2253697a65223a333435362c224d616c6c6f6373223a392c224672656573223a317d2c7b2253697a65223a343039362c224d616c6c6f6373223a35382c224672656573223a33337d2c7b2253697a65223a343836342c224d616c6c6f6373223a32382c224672656573223a31307d2c7b2253697a65223a353337362c224d616c6c6f6373223a31332c224672656573223a347d2c7b2253697a65223a363134342c224d616c6c6f6373223a31362c224672656573223a347d2c7b2253697a65223a363532382c224d616c6c6f6373223a322c224672656573223a307d2c7b2253697a65223a363738342c224d616c6c6f6373223a322c224672656573223a327d2c7b2253697a65223a363931322c224d616c6c6f6373223a322c224672656573223a317d2c7b2253697a65223a383139322c224d616c6c6f6373223a31352c224672656573223a367d2c7b2253697a65223a393437322c224d616c6c6f6373223a31302c224672656573223a347d2c7b2253697a65223a393732382c224d616c6c6f6373223a312c224672656573223a307d2c7b2253697a65223a31303234302c224d616c6c6f6373223a342c224672656573223a327d2c7b2253697a65223a31303838302c224d616c6c6f6373223a332c224672656573223a317d2c7b2253697a65223a31323238382c224d616c6c6f6373223a362c224672656573223a337d2c7b2253697a65223a31333536382c224d616c6c6f6373223a342c224672656573223a307d2c7b2253697a65223a31343333362c224d616c6c6f6373223a332c224672656573223a307d2c7b2253697a65223a31363338342c224d616c6c6f6373223a31302c224672656573223a337d2c7b2253697a65223a31383433322c224d616c6c6f6373223a372c224672656573223a357d5d7d0a7d0a0d0a300d0a0d0a</t>
  </si>
  <si>
    <t>172.28.0.1:55984 -&gt; 172.28.0.12:8080</t>
  </si>
  <si>
    <t xml:space="preserve">GET /api/colab/resources?health HTTP/1.1_x000D_
Host: m-s-kkb-usw1b1-z7tu7na99e3g.us-west1-b.c.codatalab-user-runtimes.internal:8007_x000D_
User-Agent: GoogleColabBorgToVM_x000D_
Accept: */*_x000D_
Accept-Encoding: gzip,gzip, deflate, br_x000D_
Authorization: Bearer eyJhbGciOiJSUzI1NiIsImtpZCI6ImYxMGY4NzQwNWE5NzljMWRmMzZkZjI2NjA2NzM0ZjMzY2Q4NWMyNzEiLCJ0eXAiOiJKV1QifQ.eyJhdWQiOiJjdHJsLW0tcy1ra2ItdXN3MWIxLXo3dHU3bmE5OWUzZy1iLnVzLXdlc3QxLTEucHJvZC5jb2xhYi5kZXYiLCJhenAiOiIxMTY5OTEzNDQxNzc0NDkwOTU3NzAiLCJlbWFpbCI6ImRhdGFsYWItY29kYXRhbGFiLXVzZXItcnVudGltZXNAc3lzdGVtLmdzZXJ2aWNlYWNjb3VudC5jb20iLCJlbWFpbF92ZXJpZmllZCI6dHJ1ZSwiZXhwIjoxNzg4Mzk3NjQ0LCJpYXQiOjE3ODgzOTQwNDQsImlzcyI6Imh0dHBzOi8vYWNjb3VudHMuZ29vZ2xlLmNvbSIsInN1YiI6ImRhdGFsYWItY29kYXRhbGFiLXVzZXItcnVudGltZXNAc3lzdGVtLmdzZXJ2aWNlYWNjb3VudC5jb20ifQ.xi8XvvVZ75-Tac6YU1yUCQXjjNHgrr68usfFldOwqfbidvewJlv2cJgBG2UMz8nyWPdiKbZ-FdVdcjEXkcsjz4m7NSGaUOqrJuaL4hEOfXVm_muE8BkBvolLBp9t9bAsKB0AhEUvfyDglnC4LvWuDgW3AlF_BpNI28SegsYPq5wTIAfTW9tNa5eFSH8x2F7UMBskV5_FlzyeIfggPuVHje2YhPbvcpr7QE0imRsgvJfJEc9gYi66CFH_HZxpVrwqfYWSWs3W7X41_qUdUP5bviXvArREepcUkbIHSXF3Snjmc0nXbwf41U4sFcb-y0GGb1SImRUy1Ubb6EPnRWee4g_x000D_
Via: 1.1 google_x000D_
X-Cloud-Trace-Context: 1131d8520941d6b2f8af814d5c4533ee/12138335993617077584_x000D_
X-Colab-Runtime-Proxy-Request-Host: ctrl-m-s-kkb-usw1b1-z7tu7na99e3g-b.us-west1-1.prod.colab.dev_x000D_
X-Forwarded-For: 10.0.3.42_x000D_
_x000D_
</t>
  </si>
  <si>
    <t>474554202f6170692f636f6c61622f7265736f75726365733f6865616c746820485454502f312e310d0a486f73743a206d2d732d6b6b622d7573773162312d7a377475376e6139396533672e75732d77657374312d622e632e636f646174616c61622d757365722d72756e74696d65732e696e7465726e616c3a383030370d0a557365722d4167656e743a20476f6f676c65436f6c6162426f7267546f564d0d0a4163636570743a202a2f2a0d0a4163636570742d456e636f64696e673a20677a69702c677a69702c206465666c6174652c2062720d0a417574686f72697a6174696f6e3a204265617265722065794a68624763694f694a53557a49314e694973496d74705a434936496d59784d4759344e7a51774e5745354e7a6c6a4d57526d4d7a5a6b5a6a49324e6a41324e7a4d305a6a4d7a593251344e574d794e7a45694c434a30655841694f694a4b5631516966512e65794a68645751694f694a6a64484a734c573074637931726132497464584e334d5749784c586f3364485533626d45354f57557a5a7931694c6e567a4c58646c633351784c54457563484a765a43356a623278685969356b5a5859694c434a68656e41694f6949784d5459354f54457a4e4451784e7a63304e446b774f5455334e7a41694c434a6c6257467062434936496d526864474673595749745932396b59585268624746694c58567a5a584974636e567564476c745a584e4163336c7a644756744c6d647a5a584a3261574e6c59574e6a623356756443356a623230694c434a6c62574670624639325a584a705a6d6c6c5a43493664484a315a5377695a586877496a6f784e7a67344d7a6b334e6a51304c434a70595851694f6a45334f44677a4f5451774e445173496d6c7a63794936496d68306448427a4f69387659574e6a6233567564484d755a3239765a32786c4c6d4e7662534973496e4e3159694936496d526864474673595749745932396b59585268624746694c58567a5a584974636e567564476c745a584e4163336c7a644756744c6d647a5a584a3261574e6c59574e6a623356756443356a6232306966512e786938587676565a37352d5461633659553179554351586a6a4e486772723638757366466c644f7771666269647665774a6c7632634a67424732554d7a386e79575064694b625a2d46645664636a45586b63736a7a346d374e534761554f71724a75614c3468454f6658566d5f6d754538426b42766f6c4c42703974396241734b42304168455576667944676c6e43344c76577544675733416c465f42704e49323853656773595071357754494166545739744e6135654653483878324637554d42736b56355f466c7a796549666767507556486a6532596850627663707237514530696d527367764a664a45633967596936364346485f485a7870567277716659575357733357375834315f715564555035627669587641725245657063556b62494853584633536e6a6d63306e5862776634315534734663622d79304747623153496d525579315562623645506e5257656534670d0a5669613a20312e3120676f6f676c650d0a582d436c6f75642d54726163652d436f6e746578743a2031313331643835323039343164366232663861663831346435633435333365652f31323133383333353939333631373037373538340d0a582d436f6c61622d52756e74696d652d50726f78792d526571756573742d486f73743a206374726c2d6d2d732d6b6b622d7573773162312d7a377475376e6139396533672d622e75732d77657374312d312e70726f642e636f6c61622e6465760d0a582d466f727761726465642d466f723a2031302e302e332e34320d0a0d0a</t>
  </si>
  <si>
    <t>172.28.0.12:8080 -&gt; 172.28.0.1:55984</t>
  </si>
  <si>
    <t>HTTP/1.1 200 OK_x000D_
date: Thu, 03 Sep 2026 00:07:57 GMT_x000D_
content-length: 463_x000D_
content-type: text/plain; charset=utf-8_x000D_
connection: close_x000D_
_x000D_
)]}'
{"disks":[{"filesystem":{"label":"kernel", "totalBytes":"115658190848", "usedBytes":"21686976512"}}], "memory":{"freeBytes":"12308692992", "totalBytes":"13605830656"}, "ipythonMessages":[{"jupyterSessionId":"44bb2a99-4f44b5363322cb6ccc6fe0bb", "kernelEvent":{"eventType":"EXECUTE_REPLY", "messageId":"44bb2a99-4f44b5363322cb6ccc6fe0bb_2381_45", "parentMessageId":"fa2cd0a9-1d15-4605-c87e-ed3b600170a6", "timeUsec":"1788394059777834", "executionCount":"2"}}]}</t>
  </si>
  <si>
    <t>485454502f312e3120323030204f4b0d0a646174653a205468752c2030332053657020323032362030303a30373a353720474d540d0a636f6e74656e742d6c656e6774683a203436330d0a636f6e74656e742d747970653a20746578742f706c61696e3b20636861727365743d7574662d380d0a636f6e6e656374696f6e3a20636c6f73650d0a0d0a295d7d270a7b226469736b73223a5b7b2266696c6573797374656d223a7b226c6162656c223a226b65726e656c222c2022746f74616c4279746573223a22313135363538313930383438222c2022757365644279746573223a223231363836393736353132227d7d5d2c20226d656d6f7279223a7b22667265654279746573223a223132333038363932393932222c2022746f74616c4279746573223a223133363035383330363536227d2c202269707974686f6e4d65737361676573223a5b7b226a75707974657253657373696f6e4964223a2234346262326139392d346634346235333633333232636236636363366665306262222c20226b65726e656c4576656e74223a7b226576656e7454797065223a22455845435554455f5245504c59222c20226d6573736167654964223a2234346262326139392d3466343462353336333332326362366363633666653062625f323338315f3435222c2022706172656e744d6573736167654964223a2266613263643061392d316431352d343630352d633837652d656433623630303137306136222c202274696d6555736563223a2231373838333934303539373737383334222c2022657865637574696f6e436f756e74223a2232227d7d5d7d</t>
  </si>
  <si>
    <t>...e.i...K..._x000D_...S......._x000D_...........D...Y...Z...[..._x000D_..._x000D_...
...K...........S...........K.......K...Y...
...Q...D...[...
..._x000D_...^.......E...........K...
...6.......K...........K...K......._x000D_...K...
...........
.......S.......6...................S...K.......S...........6.......K.......K.......................................4...............................K.......</t>
  </si>
  <si>
    <t>81fe0165aa69b3a0d14bdbc5cb0dd6d28853c882c71ad4ffc30d919a880fd2c1cb0bd2c5ce448b90c8599e94995ad08dce5b85c5870d84979d0d8b95930ad791c94b9f82df1ad6d2c408dec5885391d5d90cc1cecb04d682864bc0c5d91adacfc44b8982ce59d2c4980a8a9187518a909d4487c1cf5b9ec2c80ad68dc80dd1969a5ed7909e08d090884591cdd90eecd4d319d682904bd6d8cf0ac6d4cf36c1c5db1cd6d3de4b9f82dc0cc1d3c306dd82904b868e9a4bce8c8804d6d4cb0dd2d4cb4b89db880adccccb0b919ad114ce8c880adccede0cddd48853c882cb05dfcfdd36c0d4ce00dd82900fd2ccd90c9f82c906d7c588539182864bc0c9c60cddd48853c7d2df0c9f82d91ddcd2cf36dbc9d91ddcd2d34b89c6cb05c0c5864bc6d3cf1becc5d219c1c5d91adacfc41a919ad1149f82df1ad6d2f51fd2d2c308d1cccf1a919af134ce8c8819d2d2cf07c7ffc20cd2c4cf1b919ad1149f82c901d2cec40cdf82904bc0c8cf05df82d7</t>
  </si>
  <si>
    <t>172.28.0.1:32936 -&gt; 172.28.0.12:8080</t>
  </si>
  <si>
    <t xml:space="preserve">GET /api/colab/drive?authuser=0 HTTP/1.1_x000D_
Host: m-s-kkb-usw1b1-z7tu7na99e3g.us-west1-b.c.codatalab-user-runtimes.internal:8007_x000D_
User-Agent: Mozilla/5.0 (Windows NT 10.0; Win64; x64) AppleWebKit/537.36 (KHTML, like Gecko) Chrome/146.0.0.0 Safari/537.36_x000D_
Accept: */*_x000D_
Accept-Encoding: gzip, deflate, br, zstd_x000D_
Accept-Language: es-US,es-419;q=0.9,es;q=0.8_x000D_
Origin: https://colab.research.google.com_x000D_
Priority: u=1, i_x000D_
Referer: https://colab.research.google.com/_x000D_
Sec-Ch-Ua: "Chromium";v="146", "Not-A.Brand";v="24", "Google Chrome";v="146"_x000D_
Sec-Ch-Ua-Mobile: ?0_x000D_
Sec-Ch-Ua-Platform: "Windows"_x000D_
Sec-Fetch-Dest: empty_x000D_
Sec-Fetch-Mode: cors_x000D_
Sec-Fetch-Site: cross-site_x000D_
Sec-Fetch-Storage-Access: active_x000D_
Via: 1.1 google_x000D_
X-Cloud-Trace-Context: 2fc5e936a2110cb8240bb5381ac2c144/3689353328517948410_x000D_
X-Colab-Client-Agent: web_x000D_
_x000D_
</t>
  </si>
  <si>
    <t>474554202f6170692f636f6c61622f64726976653f61757468757365723d3020485454502f312e310d0a486f73743a206d2d732d6b6b622d7573773162312d7a377475376e6139396533672e75732d77657374312d622e632e636f646174616c61622d757365722d72756e74696d65732e696e7465726e616c3a383030370d0a557365722d4167656e743a204d6f7a696c6c612f352e30202857696e646f7773204e542031302e303b2057696e36343b2078363429204170706c655765624b69742f3533372e333620284b48544d4c2c206c696b65204765636b6f29204368726f6d652f3134362e302e302e30205361666172692f3533372e33360d0a4163636570743a202a2f2a0d0a4163636570742d456e636f64696e673a20677a69702c206465666c6174652c2062722c207a7374640d0a4163636570742d4c616e67756167653a2065732d55532c65732d3431393b713d302e392c65733b713d302e380d0a4f726967696e3a2068747470733a2f2f636f6c61622e72657365617263682e676f6f676c652e636f6d0d0a5072696f726974793a20753d312c20690d0a526566657265723a2068747470733a2f2f636f6c61622e72657365617263682e676f6f676c652e636f6d2f0d0a5365632d43682d55613a20224368726f6d69756d223b763d22313436222c20224e6f742d412e4272616e64223b763d223234222c2022476f6f676c65204368726f6d65223b763d22313436220d0a5365632d43682d55612d4d6f62696c653a203f300d0a5365632d43682d55612d506c6174666f726d3a202257696e646f7773220d0a5365632d46657463682d446573743a20656d7074790d0a5365632d46657463682d4d6f64653a20636f72730d0a5365632d46657463682d536974653a2063726f73732d736974650d0a5365632d46657463682d53746f726167652d4163636573733a206163746976650d0a5669613a20312e3120676f6f676c650d0a582d436c6f75642d54726163652d436f6e746578743a2032666335653933366132313130636238323430626235333831616332633134342f333638393335333332383531373934383431300d0a582d436f6c61622d436c69656e742d4167656e743a207765620d0a0d0a</t>
  </si>
  <si>
    <t>172.28.0.12:8080 -&gt; 172.28.0.1:32936</t>
  </si>
  <si>
    <t>HTTP/1.1 200 OK_x000D_
access-control-allow-origin: *_x000D_
content-length: 16_x000D_
content-security-policy: frame-ancestors 'self'; report-uri /api/security/csp-report; default-src 'none'_x000D_
content-type: application/json_x000D_
date: Thu, 03 Sep 2026 00:08:05 GMT_x000D_
etag: "555effe8bd7076437dcff68eba6db511f04f5514"_x000D_
server: TornadoServer/6.5.7_x000D_
x-content-type-options: nosniff_x000D_
connection: close_x000D_
_x000D_
)]}'
{"dfs": []}</t>
  </si>
  <si>
    <t>485454502f312e3120323030204f4b0d0a6163636573732d636f6e74726f6c2d616c6c6f772d6f726967696e3a202a0d0a636f6e74656e742d6c656e6774683a2031360d0a636f6e74656e742d73656375726974792d706f6c6963793a206672616d652d616e636573746f7273202773656c66273b207265706f72742d757269202f6170692f73656375726974792f6373702d7265706f72743b2064656661756c742d73726320276e6f6e65270d0a636f6e74656e742d747970653a206170706c69636174696f6e2f6a736f6e0d0a646174653a205468752c2030332053657020323032362030303a30383a303520474d540d0a657461673a202235353565666665386264373037363433376463666636386562613664623531316630346635353134220d0a7365727665723a20546f726e61646f5365727665722f362e352e370d0a782d636f6e74656e742d747970652d6f7074696f6e733a206e6f736e6966660d0a636f6e6e656374696f6e3a20636c6f73650d0a0d0a295d7d270a7b22646673223a205b5d7d</t>
  </si>
  <si>
    <t>172.28.0.1:32940 -&gt; 172.28.0.12:8080</t>
  </si>
  <si>
    <t xml:space="preserve">GET /api/colab/resources?authuser=0 HTTP/1.1_x000D_
Host: m-s-kkb-usw1b1-z7tu7na99e3g.us-west1-b.c.codatalab-user-runtimes.internal:8007_x000D_
User-Agent: Mozilla/5.0 (Windows NT 10.0; Win64; x64) AppleWebKit/537.36 (KHTML, like Gecko) Chrome/146.0.0.0 Safari/537.36_x000D_
Accept: */*_x000D_
Accept-Encoding: gzip, deflate, br, zstd_x000D_
Accept-Language: es-US,es-419;q=0.9,es;q=0.8_x000D_
Origin: https://colab.research.google.com_x000D_
Priority: u=1, i_x000D_
Referer: https://colab.research.google.com/_x000D_
Sec-Ch-Ua: "Chromium";v="146", "Not-A.Brand";v="24", "Google Chrome";v="146"_x000D_
Sec-Ch-Ua-Mobile: ?0_x000D_
Sec-Ch-Ua-Platform: "Windows"_x000D_
Sec-Fetch-Dest: empty_x000D_
Sec-Fetch-Mode: cors_x000D_
Sec-Fetch-Site: cross-site_x000D_
Sec-Fetch-Storage-Access: active_x000D_
Via: 1.1 google_x000D_
X-Cloud-Trace-Context: 16f0641191cd2289e26fd00d65cf82eb/4146906191047940395_x000D_
X-Colab-Client-Agent: web_x000D_
_x000D_
</t>
  </si>
  <si>
    <t>474554202f6170692f636f6c61622f7265736f75726365733f61757468757365723d3020485454502f312e310d0a486f73743a206d2d732d6b6b622d7573773162312d7a377475376e6139396533672e75732d77657374312d622e632e636f646174616c61622d757365722d72756e74696d65732e696e7465726e616c3a383030370d0a557365722d4167656e743a204d6f7a696c6c612f352e30202857696e646f7773204e542031302e303b2057696e36343b2078363429204170706c655765624b69742f3533372e333620284b48544d4c2c206c696b65204765636b6f29204368726f6d652f3134362e302e302e30205361666172692f3533372e33360d0a4163636570743a202a2f2a0d0a4163636570742d456e636f64696e673a20677a69702c206465666c6174652c2062722c207a7374640d0a4163636570742d4c616e67756167653a2065732d55532c65732d3431393b713d302e392c65733b713d302e380d0a4f726967696e3a2068747470733a2f2f636f6c61622e72657365617263682e676f6f676c652e636f6d0d0a5072696f726974793a20753d312c20690d0a526566657265723a2068747470733a2f2f636f6c61622e72657365617263682e676f6f676c652e636f6d2f0d0a5365632d43682d55613a20224368726f6d69756d223b763d22313436222c20224e6f742d412e4272616e64223b763d223234222c2022476f6f676c65204368726f6d65223b763d22313436220d0a5365632d43682d55612d4d6f62696c653a203f300d0a5365632d43682d55612d506c6174666f726d3a202257696e646f7773220d0a5365632d46657463682d446573743a20656d7074790d0a5365632d46657463682d4d6f64653a20636f72730d0a5365632d46657463682d536974653a2063726f73732d736974650d0a5365632d46657463682d53746f726167652d4163636573733a206163746976650d0a5669613a20312e3120676f6f676c650d0a582d436c6f75642d54726163652d436f6e746578743a2031366630363431313931636432323839653236666430306436356366383265622f343134363930363139313034373934303339350d0a582d436f6c61622d436c69656e742d4167656e743a207765620d0a0d0a</t>
  </si>
  <si>
    <t>172.28.0.12:8080 -&gt; 172.28.0.1:32940</t>
  </si>
  <si>
    <t>HTTP/1.1 200 OK_x000D_
access-control-allow-origin: *_x000D_
content-length: 184_x000D_
content-security-policy: frame-ancestors 'self'; report-uri /api/security/csp-report; default-src 'none'_x000D_
content-type: application/json_x000D_
date: Thu, 03 Sep 2026 00:08:06 GMT_x000D_
etag: "df15e0f1ab9e674ac7ee2c6c1b8a56315c3235bb"_x000D_
server: TornadoServer/6.5.7_x000D_
x-content-type-options: nosniff_x000D_
connection: close_x000D_
_x000D_
)]}'
{"memory": {"totalBytes": 13605830656, "freeBytes": 12306620416}, "disks": [{"filesystem": {"label": "kernel", "totalBytes": 115658190848, "usedBytes": 21686984704}}], "gpus": []}</t>
  </si>
  <si>
    <t>485454502f312e3120323030204f4b0d0a6163636573732d636f6e74726f6c2d616c6c6f772d6f726967696e3a202a0d0a636f6e74656e742d6c656e6774683a203138340d0a636f6e74656e742d73656375726974792d706f6c6963793a206672616d652d616e636573746f7273202773656c66273b207265706f72742d757269202f6170692f73656375726974792f6373702d7265706f72743b2064656661756c742d73726320276e6f6e65270d0a636f6e74656e742d747970653a206170706c69636174696f6e2f6a736f6e0d0a646174653a205468752c2030332053657020323032362030303a30383a303620474d540d0a657461673a202264663135653066316162396536373461633765653263366331623861353633313563333233356262220d0a7365727665723a20546f726e61646f5365727665722f362e352e370d0a782d636f6e74656e742d747970652d6f7074696f6e733a206e6f736e6966660d0a636f6e6e656374696f6e3a20636c6f73650d0a0d0a295d7d270a7b226d656d6f7279223a207b22746f74616c4279746573223a2031333630353833303635362c2022667265654279746573223a2031323330363632303431367d2c20226469736b73223a205b7b2266696c6573797374656d223a207b226c6162656c223a20226b65726e656c222c2022746f74616c4279746573223a203131353635383139303834382c2022757365644279746573223a2032313638363938343730347d7d5d2c202267707573223a205b5d7d</t>
  </si>
  <si>
    <t>Extremo A</t>
  </si>
  <si>
    <t>Extremo B</t>
  </si>
  <si>
    <t>Paquetes</t>
  </si>
  <si>
    <t>Inicio (s)</t>
  </si>
  <si>
    <t>Fin (s)</t>
  </si>
  <si>
    <t>172.28.0.1:51340</t>
  </si>
  <si>
    <t>172.28.0.12:8080</t>
  </si>
  <si>
    <t>172.28.0.1:57172</t>
  </si>
  <si>
    <t>172.28.0.1:44464</t>
  </si>
  <si>
    <t>172.28.0.1:50558</t>
  </si>
  <si>
    <t>172.28.0.12:6000</t>
  </si>
  <si>
    <t>172.28.0.1:42418</t>
  </si>
  <si>
    <t>172.28.0.1:55976</t>
  </si>
  <si>
    <t>172.28.0.1:55984</t>
  </si>
  <si>
    <t>172.28.0.1:32936</t>
  </si>
  <si>
    <t>172.28.0.1:32940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</si>
</sst>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yyyy\-mm\-dd\ hh:mm:ss"/>
    <numFmt numFmtId="166" formatCode="yyyy\-mm\-dd\ hh:mm:ss.000"/>
    <numFmt numFmtId="167" formatCode="0.00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66" fontId="2" fillId="0" borderId="1" xfId="0" applyNumberFormat="1" applyFont="1" applyBorder="1" applyAlignment="1">
      <alignment vertical="top"/>
    </xf>
    <xf numFmtId="167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1" sqref="B11"/>
    </sheetView>
  </sheetViews>
  <sheetFormatPr defaultColWidth="8.85546875" defaultRowHeight="14.45"/>
  <cols>
    <col min="1" max="1" width="30.7109375" customWidth="1"/>
    <col min="2" max="2" width="90.7109375" customWidth="1"/>
  </cols>
  <sheetData>
    <row r="1" spans="1:2">
      <c r="A1" s="1" t="s">
        <v>0</v>
      </c>
      <c r="B1" s="1" t="s">
        <v>1</v>
      </c>
    </row>
    <row r="2" spans="1:2">
      <c r="A2" s="6" t="s">
        <v>2</v>
      </c>
      <c r="B2" s="7">
        <f>COUNTA(Paquetes!A2:A149)</f>
        <v>148</v>
      </c>
    </row>
    <row r="3" spans="1:2">
      <c r="A3" s="6" t="s">
        <v>3</v>
      </c>
      <c r="B3" s="7">
        <f>COUNTIF(Paquetes!S2:S149,"&gt;0")</f>
        <v>57</v>
      </c>
    </row>
    <row r="4" spans="1:2">
      <c r="A4" s="6" t="s">
        <v>4</v>
      </c>
      <c r="B4" s="7">
        <f>SUM(Paquetes!D2:D149)</f>
        <v>32769</v>
      </c>
    </row>
    <row r="5" spans="1:2">
      <c r="A5" s="6" t="s">
        <v>5</v>
      </c>
      <c r="B5" s="7">
        <f>SUM(Paquetes!S2:S149)</f>
        <v>22857</v>
      </c>
    </row>
    <row r="6" spans="1:2">
      <c r="A6" s="6" t="s">
        <v>6</v>
      </c>
      <c r="B6" s="8">
        <f>MAX(Paquetes!C2:C149)</f>
        <v>26.722208999999999</v>
      </c>
    </row>
    <row r="7" spans="1:2">
      <c r="A7" s="6" t="s">
        <v>7</v>
      </c>
      <c r="B7" s="7">
        <f>COUNTA(Conversaciones!A2:A10)</f>
        <v>9</v>
      </c>
    </row>
    <row r="8" spans="1:2">
      <c r="A8" s="6" t="s">
        <v>8</v>
      </c>
      <c r="B8" s="9">
        <f>MIN(Paquetes!B2:B149)</f>
        <v>46268.005322784004</v>
      </c>
    </row>
    <row r="9" spans="1:2" ht="26.45">
      <c r="A9" s="6" t="s">
        <v>9</v>
      </c>
      <c r="B9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9"/>
  <sheetViews>
    <sheetView tabSelected="1" workbookViewId="0">
      <pane ySplit="1" topLeftCell="A2" activePane="bottomLeft" state="frozen"/>
      <selection pane="bottomLeft" activeCell="E10" sqref="E10"/>
    </sheetView>
  </sheetViews>
  <sheetFormatPr defaultColWidth="8.85546875" defaultRowHeight="14.45"/>
  <cols>
    <col min="1" max="1" width="6.7109375" customWidth="1"/>
    <col min="2" max="2" width="24.7109375" customWidth="1"/>
    <col min="3" max="3" width="14.7109375" customWidth="1"/>
    <col min="4" max="4" width="11.7109375" customWidth="1"/>
    <col min="5" max="6" width="18.7109375" customWidth="1"/>
    <col min="7" max="7" width="14.7109375" customWidth="1"/>
    <col min="8" max="8" width="10.7109375" customWidth="1"/>
    <col min="9" max="9" width="14.7109375" customWidth="1"/>
    <col min="10" max="11" width="10.7109375" customWidth="1"/>
    <col min="12" max="12" width="6.7109375" customWidth="1"/>
    <col min="13" max="14" width="9.7109375" customWidth="1"/>
    <col min="15" max="17" width="12.7109375" customWidth="1"/>
    <col min="18" max="18" width="9.7109375" customWidth="1"/>
    <col min="19" max="19" width="11.7109375" customWidth="1"/>
  </cols>
  <sheetData>
    <row r="1" spans="1:19" ht="26.4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s="2">
        <v>1</v>
      </c>
      <c r="B2" s="4">
        <v>46268.005322784004</v>
      </c>
      <c r="C2" s="5">
        <v>0</v>
      </c>
      <c r="D2" s="2">
        <v>743</v>
      </c>
      <c r="E2" s="2" t="s">
        <v>30</v>
      </c>
      <c r="F2" s="2" t="s">
        <v>31</v>
      </c>
      <c r="G2" s="2" t="s">
        <v>32</v>
      </c>
      <c r="H2" s="2">
        <v>8080</v>
      </c>
      <c r="I2" s="2" t="s">
        <v>33</v>
      </c>
      <c r="J2" s="2">
        <v>51340</v>
      </c>
      <c r="K2" s="2" t="s">
        <v>34</v>
      </c>
      <c r="L2" s="2">
        <v>64</v>
      </c>
      <c r="M2" s="2">
        <v>37614</v>
      </c>
      <c r="N2" s="2">
        <v>729</v>
      </c>
      <c r="O2" s="2">
        <v>345224789</v>
      </c>
      <c r="P2" s="2">
        <v>4156693566</v>
      </c>
      <c r="Q2" s="2" t="s">
        <v>35</v>
      </c>
      <c r="R2" s="2">
        <v>630</v>
      </c>
      <c r="S2" s="2">
        <v>677</v>
      </c>
    </row>
    <row r="3" spans="1:19">
      <c r="A3" s="2">
        <v>2</v>
      </c>
      <c r="B3" s="4">
        <v>46268.005322784491</v>
      </c>
      <c r="C3" s="5">
        <v>4.1999999999999998E-5</v>
      </c>
      <c r="D3" s="2">
        <v>66</v>
      </c>
      <c r="E3" s="2" t="s">
        <v>31</v>
      </c>
      <c r="F3" s="2" t="s">
        <v>30</v>
      </c>
      <c r="G3" s="2" t="s">
        <v>33</v>
      </c>
      <c r="H3" s="2">
        <v>51340</v>
      </c>
      <c r="I3" s="2" t="s">
        <v>32</v>
      </c>
      <c r="J3" s="2">
        <v>8080</v>
      </c>
      <c r="K3" s="2" t="s">
        <v>34</v>
      </c>
      <c r="L3" s="2">
        <v>64</v>
      </c>
      <c r="M3" s="2">
        <v>62182</v>
      </c>
      <c r="N3" s="2">
        <v>52</v>
      </c>
      <c r="O3" s="2">
        <v>4156693566</v>
      </c>
      <c r="P3" s="2">
        <v>345225466</v>
      </c>
      <c r="Q3" s="2" t="s">
        <v>36</v>
      </c>
      <c r="R3" s="2">
        <v>686</v>
      </c>
      <c r="S3" s="2">
        <v>0</v>
      </c>
    </row>
    <row r="4" spans="1:19">
      <c r="A4" s="2">
        <v>3</v>
      </c>
      <c r="B4" s="4">
        <v>46268.005323146979</v>
      </c>
      <c r="C4" s="5">
        <v>3.1361E-2</v>
      </c>
      <c r="D4" s="2">
        <v>482</v>
      </c>
      <c r="E4" s="2" t="s">
        <v>31</v>
      </c>
      <c r="F4" s="2" t="s">
        <v>30</v>
      </c>
      <c r="G4" s="2" t="s">
        <v>33</v>
      </c>
      <c r="H4" s="2">
        <v>51340</v>
      </c>
      <c r="I4" s="2" t="s">
        <v>32</v>
      </c>
      <c r="J4" s="2">
        <v>8080</v>
      </c>
      <c r="K4" s="2" t="s">
        <v>34</v>
      </c>
      <c r="L4" s="2">
        <v>64</v>
      </c>
      <c r="M4" s="2">
        <v>62183</v>
      </c>
      <c r="N4" s="2">
        <v>468</v>
      </c>
      <c r="O4" s="2">
        <v>4156693566</v>
      </c>
      <c r="P4" s="2">
        <v>345225466</v>
      </c>
      <c r="Q4" s="2" t="s">
        <v>35</v>
      </c>
      <c r="R4" s="2">
        <v>686</v>
      </c>
      <c r="S4" s="2">
        <v>416</v>
      </c>
    </row>
    <row r="5" spans="1:19">
      <c r="A5" s="2">
        <v>4</v>
      </c>
      <c r="B5" s="4">
        <v>46268.005323147183</v>
      </c>
      <c r="C5" s="5">
        <v>3.1378000000000003E-2</v>
      </c>
      <c r="D5" s="2">
        <v>66</v>
      </c>
      <c r="E5" s="2" t="s">
        <v>30</v>
      </c>
      <c r="F5" s="2" t="s">
        <v>31</v>
      </c>
      <c r="G5" s="2" t="s">
        <v>32</v>
      </c>
      <c r="H5" s="2">
        <v>8080</v>
      </c>
      <c r="I5" s="2" t="s">
        <v>33</v>
      </c>
      <c r="J5" s="2">
        <v>51340</v>
      </c>
      <c r="K5" s="2" t="s">
        <v>34</v>
      </c>
      <c r="L5" s="2">
        <v>64</v>
      </c>
      <c r="M5" s="2">
        <v>37615</v>
      </c>
      <c r="N5" s="2">
        <v>52</v>
      </c>
      <c r="O5" s="2">
        <v>345225466</v>
      </c>
      <c r="P5" s="2">
        <v>4156693982</v>
      </c>
      <c r="Q5" s="2" t="s">
        <v>36</v>
      </c>
      <c r="R5" s="2">
        <v>630</v>
      </c>
      <c r="S5" s="2">
        <v>0</v>
      </c>
    </row>
    <row r="6" spans="1:19">
      <c r="A6" s="2">
        <v>5</v>
      </c>
      <c r="B6" s="4">
        <v>46268.005323222882</v>
      </c>
      <c r="C6" s="5">
        <v>3.7919000000000001E-2</v>
      </c>
      <c r="D6" s="2">
        <v>183</v>
      </c>
      <c r="E6" s="2" t="s">
        <v>31</v>
      </c>
      <c r="F6" s="2" t="s">
        <v>30</v>
      </c>
      <c r="G6" s="2" t="s">
        <v>33</v>
      </c>
      <c r="H6" s="2">
        <v>57172</v>
      </c>
      <c r="I6" s="2" t="s">
        <v>32</v>
      </c>
      <c r="J6" s="2">
        <v>8080</v>
      </c>
      <c r="K6" s="2" t="s">
        <v>34</v>
      </c>
      <c r="L6" s="2">
        <v>64</v>
      </c>
      <c r="M6" s="2">
        <v>56900</v>
      </c>
      <c r="N6" s="2">
        <v>169</v>
      </c>
      <c r="O6" s="2">
        <v>805660084</v>
      </c>
      <c r="P6" s="2">
        <v>1743618731</v>
      </c>
      <c r="Q6" s="2" t="s">
        <v>35</v>
      </c>
      <c r="R6" s="2">
        <v>551</v>
      </c>
      <c r="S6" s="2">
        <v>117</v>
      </c>
    </row>
    <row r="7" spans="1:19">
      <c r="A7" s="2">
        <v>6</v>
      </c>
      <c r="B7" s="4">
        <v>46268.005323229132</v>
      </c>
      <c r="C7" s="5">
        <v>3.8459E-2</v>
      </c>
      <c r="D7" s="2">
        <v>68</v>
      </c>
      <c r="E7" s="2" t="s">
        <v>30</v>
      </c>
      <c r="F7" s="2" t="s">
        <v>31</v>
      </c>
      <c r="G7" s="2" t="s">
        <v>32</v>
      </c>
      <c r="H7" s="2">
        <v>8080</v>
      </c>
      <c r="I7" s="2" t="s">
        <v>33</v>
      </c>
      <c r="J7" s="2">
        <v>57172</v>
      </c>
      <c r="K7" s="2" t="s">
        <v>34</v>
      </c>
      <c r="L7" s="2">
        <v>64</v>
      </c>
      <c r="M7" s="2">
        <v>16114</v>
      </c>
      <c r="N7" s="2">
        <v>54</v>
      </c>
      <c r="O7" s="2">
        <v>1743618731</v>
      </c>
      <c r="P7" s="2">
        <v>805660201</v>
      </c>
      <c r="Q7" s="2" t="s">
        <v>35</v>
      </c>
      <c r="R7" s="2">
        <v>738</v>
      </c>
      <c r="S7" s="2">
        <v>2</v>
      </c>
    </row>
    <row r="8" spans="1:19">
      <c r="A8" s="2">
        <v>7</v>
      </c>
      <c r="B8" s="4">
        <v>46268.005323229503</v>
      </c>
      <c r="C8" s="5">
        <v>3.8490999999999997E-2</v>
      </c>
      <c r="D8" s="2">
        <v>66</v>
      </c>
      <c r="E8" s="2" t="s">
        <v>31</v>
      </c>
      <c r="F8" s="2" t="s">
        <v>30</v>
      </c>
      <c r="G8" s="2" t="s">
        <v>33</v>
      </c>
      <c r="H8" s="2">
        <v>57172</v>
      </c>
      <c r="I8" s="2" t="s">
        <v>32</v>
      </c>
      <c r="J8" s="2">
        <v>8080</v>
      </c>
      <c r="K8" s="2" t="s">
        <v>34</v>
      </c>
      <c r="L8" s="2">
        <v>64</v>
      </c>
      <c r="M8" s="2">
        <v>56901</v>
      </c>
      <c r="N8" s="2">
        <v>52</v>
      </c>
      <c r="O8" s="2">
        <v>805660201</v>
      </c>
      <c r="P8" s="2">
        <v>1743618733</v>
      </c>
      <c r="Q8" s="2" t="s">
        <v>36</v>
      </c>
      <c r="R8" s="2">
        <v>551</v>
      </c>
      <c r="S8" s="2">
        <v>0</v>
      </c>
    </row>
    <row r="9" spans="1:19">
      <c r="A9" s="2">
        <v>8</v>
      </c>
      <c r="B9" s="4">
        <v>46268.005323234262</v>
      </c>
      <c r="C9" s="5">
        <v>3.8901999999999999E-2</v>
      </c>
      <c r="D9" s="2">
        <v>66</v>
      </c>
      <c r="E9" s="2" t="s">
        <v>30</v>
      </c>
      <c r="F9" s="2" t="s">
        <v>31</v>
      </c>
      <c r="G9" s="2" t="s">
        <v>32</v>
      </c>
      <c r="H9" s="2">
        <v>8080</v>
      </c>
      <c r="I9" s="2" t="s">
        <v>33</v>
      </c>
      <c r="J9" s="2">
        <v>57172</v>
      </c>
      <c r="K9" s="2" t="s">
        <v>34</v>
      </c>
      <c r="L9" s="2">
        <v>64</v>
      </c>
      <c r="M9" s="2">
        <v>16115</v>
      </c>
      <c r="N9" s="2">
        <v>52</v>
      </c>
      <c r="O9" s="2">
        <v>1743618733</v>
      </c>
      <c r="P9" s="2">
        <v>805660201</v>
      </c>
      <c r="Q9" s="2" t="s">
        <v>37</v>
      </c>
      <c r="R9" s="2">
        <v>738</v>
      </c>
      <c r="S9" s="2">
        <v>0</v>
      </c>
    </row>
    <row r="10" spans="1:19">
      <c r="A10" s="2">
        <v>9</v>
      </c>
      <c r="B10" s="4">
        <v>46268.005323290628</v>
      </c>
      <c r="C10" s="5">
        <v>4.3771999999999998E-2</v>
      </c>
      <c r="D10" s="2">
        <v>66</v>
      </c>
      <c r="E10" s="2" t="s">
        <v>31</v>
      </c>
      <c r="F10" s="2" t="s">
        <v>30</v>
      </c>
      <c r="G10" s="2" t="s">
        <v>33</v>
      </c>
      <c r="H10" s="2">
        <v>57172</v>
      </c>
      <c r="I10" s="2" t="s">
        <v>32</v>
      </c>
      <c r="J10" s="2">
        <v>8080</v>
      </c>
      <c r="K10" s="2" t="s">
        <v>34</v>
      </c>
      <c r="L10" s="2">
        <v>64</v>
      </c>
      <c r="M10" s="2">
        <v>56902</v>
      </c>
      <c r="N10" s="2">
        <v>52</v>
      </c>
      <c r="O10" s="2">
        <v>805660201</v>
      </c>
      <c r="P10" s="2">
        <v>1743618734</v>
      </c>
      <c r="Q10" s="2" t="s">
        <v>36</v>
      </c>
      <c r="R10" s="2">
        <v>551</v>
      </c>
      <c r="S10" s="2">
        <v>0</v>
      </c>
    </row>
    <row r="11" spans="1:19">
      <c r="A11" s="2">
        <v>10</v>
      </c>
      <c r="B11" s="4">
        <v>46268.005323290789</v>
      </c>
      <c r="C11" s="5">
        <v>4.3785999999999999E-2</v>
      </c>
      <c r="D11" s="2">
        <v>66</v>
      </c>
      <c r="E11" s="2" t="s">
        <v>31</v>
      </c>
      <c r="F11" s="2" t="s">
        <v>30</v>
      </c>
      <c r="G11" s="2" t="s">
        <v>33</v>
      </c>
      <c r="H11" s="2">
        <v>57172</v>
      </c>
      <c r="I11" s="2" t="s">
        <v>32</v>
      </c>
      <c r="J11" s="2">
        <v>8080</v>
      </c>
      <c r="K11" s="2" t="s">
        <v>34</v>
      </c>
      <c r="L11" s="2">
        <v>64</v>
      </c>
      <c r="M11" s="2">
        <v>56903</v>
      </c>
      <c r="N11" s="2">
        <v>52</v>
      </c>
      <c r="O11" s="2">
        <v>805660201</v>
      </c>
      <c r="P11" s="2">
        <v>1743618734</v>
      </c>
      <c r="Q11" s="2" t="s">
        <v>37</v>
      </c>
      <c r="R11" s="2">
        <v>551</v>
      </c>
      <c r="S11" s="2">
        <v>0</v>
      </c>
    </row>
    <row r="12" spans="1:19">
      <c r="A12" s="2">
        <v>11</v>
      </c>
      <c r="B12" s="4">
        <v>46268.005323290883</v>
      </c>
      <c r="C12" s="5">
        <v>4.3794E-2</v>
      </c>
      <c r="D12" s="2">
        <v>66</v>
      </c>
      <c r="E12" s="2" t="s">
        <v>30</v>
      </c>
      <c r="F12" s="2" t="s">
        <v>31</v>
      </c>
      <c r="G12" s="2" t="s">
        <v>32</v>
      </c>
      <c r="H12" s="2">
        <v>8080</v>
      </c>
      <c r="I12" s="2" t="s">
        <v>33</v>
      </c>
      <c r="J12" s="2">
        <v>57172</v>
      </c>
      <c r="K12" s="2" t="s">
        <v>34</v>
      </c>
      <c r="L12" s="2">
        <v>64</v>
      </c>
      <c r="M12" s="2">
        <v>16116</v>
      </c>
      <c r="N12" s="2">
        <v>52</v>
      </c>
      <c r="O12" s="2">
        <v>1743618734</v>
      </c>
      <c r="P12" s="2">
        <v>805660202</v>
      </c>
      <c r="Q12" s="2" t="s">
        <v>36</v>
      </c>
      <c r="R12" s="2">
        <v>738</v>
      </c>
      <c r="S12" s="2">
        <v>0</v>
      </c>
    </row>
    <row r="13" spans="1:19">
      <c r="A13" s="2">
        <v>12</v>
      </c>
      <c r="B13" s="4">
        <v>46268.005325113241</v>
      </c>
      <c r="C13" s="5">
        <v>0.20124600000000001</v>
      </c>
      <c r="D13" s="2">
        <v>776</v>
      </c>
      <c r="E13" s="2" t="s">
        <v>30</v>
      </c>
      <c r="F13" s="2" t="s">
        <v>31</v>
      </c>
      <c r="G13" s="2" t="s">
        <v>32</v>
      </c>
      <c r="H13" s="2">
        <v>8080</v>
      </c>
      <c r="I13" s="2" t="s">
        <v>33</v>
      </c>
      <c r="J13" s="2">
        <v>51340</v>
      </c>
      <c r="K13" s="2" t="s">
        <v>34</v>
      </c>
      <c r="L13" s="2">
        <v>64</v>
      </c>
      <c r="M13" s="2">
        <v>37616</v>
      </c>
      <c r="N13" s="2">
        <v>762</v>
      </c>
      <c r="O13" s="2">
        <v>345225466</v>
      </c>
      <c r="P13" s="2">
        <v>4156693982</v>
      </c>
      <c r="Q13" s="2" t="s">
        <v>35</v>
      </c>
      <c r="R13" s="2">
        <v>630</v>
      </c>
      <c r="S13" s="2">
        <v>710</v>
      </c>
    </row>
    <row r="14" spans="1:19">
      <c r="A14" s="2">
        <v>13</v>
      </c>
      <c r="B14" s="4">
        <v>46268.005325165752</v>
      </c>
      <c r="C14" s="5">
        <v>0.20578299999999999</v>
      </c>
      <c r="D14" s="2">
        <v>66</v>
      </c>
      <c r="E14" s="2" t="s">
        <v>31</v>
      </c>
      <c r="F14" s="2" t="s">
        <v>30</v>
      </c>
      <c r="G14" s="2" t="s">
        <v>33</v>
      </c>
      <c r="H14" s="2">
        <v>51340</v>
      </c>
      <c r="I14" s="2" t="s">
        <v>32</v>
      </c>
      <c r="J14" s="2">
        <v>8080</v>
      </c>
      <c r="K14" s="2" t="s">
        <v>34</v>
      </c>
      <c r="L14" s="2">
        <v>64</v>
      </c>
      <c r="M14" s="2">
        <v>62184</v>
      </c>
      <c r="N14" s="2">
        <v>52</v>
      </c>
      <c r="O14" s="2">
        <v>4156693982</v>
      </c>
      <c r="P14" s="2">
        <v>345226176</v>
      </c>
      <c r="Q14" s="2" t="s">
        <v>36</v>
      </c>
      <c r="R14" s="2">
        <v>681</v>
      </c>
      <c r="S14" s="2">
        <v>0</v>
      </c>
    </row>
    <row r="15" spans="1:19">
      <c r="A15" s="2">
        <v>14</v>
      </c>
      <c r="B15" s="4">
        <v>46268.005325561753</v>
      </c>
      <c r="C15" s="5">
        <v>0.23999699999999999</v>
      </c>
      <c r="D15" s="2">
        <v>74</v>
      </c>
      <c r="E15" s="2" t="s">
        <v>31</v>
      </c>
      <c r="F15" s="2" t="s">
        <v>30</v>
      </c>
      <c r="G15" s="2" t="s">
        <v>33</v>
      </c>
      <c r="H15" s="2">
        <v>44464</v>
      </c>
      <c r="I15" s="2" t="s">
        <v>32</v>
      </c>
      <c r="J15" s="2">
        <v>8080</v>
      </c>
      <c r="K15" s="2" t="s">
        <v>34</v>
      </c>
      <c r="L15" s="2">
        <v>64</v>
      </c>
      <c r="M15" s="2">
        <v>327</v>
      </c>
      <c r="N15" s="2">
        <v>60</v>
      </c>
      <c r="O15" s="2">
        <v>1034026574</v>
      </c>
      <c r="P15" s="2">
        <v>0</v>
      </c>
      <c r="Q15" s="2" t="s">
        <v>38</v>
      </c>
      <c r="R15" s="2">
        <v>64240</v>
      </c>
      <c r="S15" s="2">
        <v>0</v>
      </c>
    </row>
    <row r="16" spans="1:19">
      <c r="A16" s="2">
        <v>15</v>
      </c>
      <c r="B16" s="4">
        <v>46268.005325562001</v>
      </c>
      <c r="C16" s="5">
        <v>0.24001900000000001</v>
      </c>
      <c r="D16" s="2">
        <v>74</v>
      </c>
      <c r="E16" s="2" t="s">
        <v>30</v>
      </c>
      <c r="F16" s="2" t="s">
        <v>31</v>
      </c>
      <c r="G16" s="2" t="s">
        <v>32</v>
      </c>
      <c r="H16" s="2">
        <v>8080</v>
      </c>
      <c r="I16" s="2" t="s">
        <v>33</v>
      </c>
      <c r="J16" s="2">
        <v>44464</v>
      </c>
      <c r="K16" s="2" t="s">
        <v>34</v>
      </c>
      <c r="L16" s="2">
        <v>64</v>
      </c>
      <c r="M16" s="2">
        <v>0</v>
      </c>
      <c r="N16" s="2">
        <v>60</v>
      </c>
      <c r="O16" s="2">
        <v>3989245081</v>
      </c>
      <c r="P16" s="2">
        <v>1034026575</v>
      </c>
      <c r="Q16" s="2" t="s">
        <v>39</v>
      </c>
      <c r="R16" s="2">
        <v>65160</v>
      </c>
      <c r="S16" s="2">
        <v>0</v>
      </c>
    </row>
    <row r="17" spans="1:19">
      <c r="A17" s="2">
        <v>16</v>
      </c>
      <c r="B17" s="4">
        <v>46268.005325562262</v>
      </c>
      <c r="C17" s="5">
        <v>0.240041</v>
      </c>
      <c r="D17" s="2">
        <v>66</v>
      </c>
      <c r="E17" s="2" t="s">
        <v>31</v>
      </c>
      <c r="F17" s="2" t="s">
        <v>30</v>
      </c>
      <c r="G17" s="2" t="s">
        <v>33</v>
      </c>
      <c r="H17" s="2">
        <v>44464</v>
      </c>
      <c r="I17" s="2" t="s">
        <v>32</v>
      </c>
      <c r="J17" s="2">
        <v>8080</v>
      </c>
      <c r="K17" s="2" t="s">
        <v>34</v>
      </c>
      <c r="L17" s="2">
        <v>64</v>
      </c>
      <c r="M17" s="2">
        <v>328</v>
      </c>
      <c r="N17" s="2">
        <v>52</v>
      </c>
      <c r="O17" s="2">
        <v>1034026575</v>
      </c>
      <c r="P17" s="2">
        <v>3989245082</v>
      </c>
      <c r="Q17" s="2" t="s">
        <v>36</v>
      </c>
      <c r="R17" s="2">
        <v>502</v>
      </c>
      <c r="S17" s="2">
        <v>0</v>
      </c>
    </row>
    <row r="18" spans="1:19">
      <c r="A18" s="2">
        <v>17</v>
      </c>
      <c r="B18" s="4">
        <v>46268.005325564147</v>
      </c>
      <c r="C18" s="5">
        <v>0.240204</v>
      </c>
      <c r="D18" s="2">
        <v>754</v>
      </c>
      <c r="E18" s="2" t="s">
        <v>31</v>
      </c>
      <c r="F18" s="2" t="s">
        <v>30</v>
      </c>
      <c r="G18" s="2" t="s">
        <v>33</v>
      </c>
      <c r="H18" s="2">
        <v>44464</v>
      </c>
      <c r="I18" s="2" t="s">
        <v>32</v>
      </c>
      <c r="J18" s="2">
        <v>8080</v>
      </c>
      <c r="K18" s="2" t="s">
        <v>34</v>
      </c>
      <c r="L18" s="2">
        <v>64</v>
      </c>
      <c r="M18" s="2">
        <v>329</v>
      </c>
      <c r="N18" s="2">
        <v>740</v>
      </c>
      <c r="O18" s="2">
        <v>1034026575</v>
      </c>
      <c r="P18" s="2">
        <v>3989245082</v>
      </c>
      <c r="Q18" s="2" t="s">
        <v>35</v>
      </c>
      <c r="R18" s="2">
        <v>502</v>
      </c>
      <c r="S18" s="2">
        <v>688</v>
      </c>
    </row>
    <row r="19" spans="1:19">
      <c r="A19" s="2">
        <v>18</v>
      </c>
      <c r="B19" s="4">
        <v>46268.005325564227</v>
      </c>
      <c r="C19" s="5">
        <v>0.24021100000000001</v>
      </c>
      <c r="D19" s="2">
        <v>66</v>
      </c>
      <c r="E19" s="2" t="s">
        <v>30</v>
      </c>
      <c r="F19" s="2" t="s">
        <v>31</v>
      </c>
      <c r="G19" s="2" t="s">
        <v>32</v>
      </c>
      <c r="H19" s="2">
        <v>8080</v>
      </c>
      <c r="I19" s="2" t="s">
        <v>33</v>
      </c>
      <c r="J19" s="2">
        <v>44464</v>
      </c>
      <c r="K19" s="2" t="s">
        <v>34</v>
      </c>
      <c r="L19" s="2">
        <v>64</v>
      </c>
      <c r="M19" s="2">
        <v>13790</v>
      </c>
      <c r="N19" s="2">
        <v>52</v>
      </c>
      <c r="O19" s="2">
        <v>3989245082</v>
      </c>
      <c r="P19" s="2">
        <v>1034027263</v>
      </c>
      <c r="Q19" s="2" t="s">
        <v>36</v>
      </c>
      <c r="R19" s="2">
        <v>504</v>
      </c>
      <c r="S19" s="2">
        <v>0</v>
      </c>
    </row>
    <row r="20" spans="1:19">
      <c r="A20" s="2">
        <v>19</v>
      </c>
      <c r="B20" s="4">
        <v>46268.005325575672</v>
      </c>
      <c r="C20" s="5">
        <v>0.2412</v>
      </c>
      <c r="D20" s="2">
        <v>195</v>
      </c>
      <c r="E20" s="2" t="s">
        <v>30</v>
      </c>
      <c r="F20" s="2" t="s">
        <v>31</v>
      </c>
      <c r="G20" s="2" t="s">
        <v>32</v>
      </c>
      <c r="H20" s="2">
        <v>8080</v>
      </c>
      <c r="I20" s="2" t="s">
        <v>33</v>
      </c>
      <c r="J20" s="2">
        <v>44464</v>
      </c>
      <c r="K20" s="2" t="s">
        <v>34</v>
      </c>
      <c r="L20" s="2">
        <v>64</v>
      </c>
      <c r="M20" s="2">
        <v>13791</v>
      </c>
      <c r="N20" s="2">
        <v>181</v>
      </c>
      <c r="O20" s="2">
        <v>3989245082</v>
      </c>
      <c r="P20" s="2">
        <v>1034027263</v>
      </c>
      <c r="Q20" s="2" t="s">
        <v>35</v>
      </c>
      <c r="R20" s="2">
        <v>504</v>
      </c>
      <c r="S20" s="2">
        <v>129</v>
      </c>
    </row>
    <row r="21" spans="1:19">
      <c r="A21" s="2">
        <v>20</v>
      </c>
      <c r="B21" s="4">
        <v>46268.005325576021</v>
      </c>
      <c r="C21" s="5">
        <v>0.24123</v>
      </c>
      <c r="D21" s="2">
        <v>66</v>
      </c>
      <c r="E21" s="2" t="s">
        <v>31</v>
      </c>
      <c r="F21" s="2" t="s">
        <v>30</v>
      </c>
      <c r="G21" s="2" t="s">
        <v>33</v>
      </c>
      <c r="H21" s="2">
        <v>44464</v>
      </c>
      <c r="I21" s="2" t="s">
        <v>32</v>
      </c>
      <c r="J21" s="2">
        <v>8080</v>
      </c>
      <c r="K21" s="2" t="s">
        <v>34</v>
      </c>
      <c r="L21" s="2">
        <v>64</v>
      </c>
      <c r="M21" s="2">
        <v>330</v>
      </c>
      <c r="N21" s="2">
        <v>52</v>
      </c>
      <c r="O21" s="2">
        <v>1034027263</v>
      </c>
      <c r="P21" s="2">
        <v>3989245211</v>
      </c>
      <c r="Q21" s="2" t="s">
        <v>36</v>
      </c>
      <c r="R21" s="2">
        <v>501</v>
      </c>
      <c r="S21" s="2">
        <v>0</v>
      </c>
    </row>
    <row r="22" spans="1:19">
      <c r="A22" s="2">
        <v>21</v>
      </c>
      <c r="B22" s="4">
        <v>46268.005325975777</v>
      </c>
      <c r="C22" s="5">
        <v>0.27577000000000002</v>
      </c>
      <c r="D22" s="2">
        <v>66</v>
      </c>
      <c r="E22" s="2" t="s">
        <v>30</v>
      </c>
      <c r="F22" s="2" t="s">
        <v>31</v>
      </c>
      <c r="G22" s="2" t="s">
        <v>32</v>
      </c>
      <c r="H22" s="2">
        <v>6000</v>
      </c>
      <c r="I22" s="2" t="s">
        <v>33</v>
      </c>
      <c r="J22" s="2">
        <v>50558</v>
      </c>
      <c r="K22" s="2" t="s">
        <v>34</v>
      </c>
      <c r="L22" s="2">
        <v>64</v>
      </c>
      <c r="M22" s="2">
        <v>48360</v>
      </c>
      <c r="N22" s="2">
        <v>52</v>
      </c>
      <c r="O22" s="2">
        <v>2537496204</v>
      </c>
      <c r="P22" s="2">
        <v>57236254</v>
      </c>
      <c r="Q22" s="2" t="s">
        <v>36</v>
      </c>
      <c r="R22" s="2">
        <v>509</v>
      </c>
      <c r="S22" s="2">
        <v>0</v>
      </c>
    </row>
    <row r="23" spans="1:19">
      <c r="A23" s="2">
        <v>22</v>
      </c>
      <c r="B23" s="4">
        <v>46268.005325984377</v>
      </c>
      <c r="C23" s="5">
        <v>0.27651300000000001</v>
      </c>
      <c r="D23" s="2">
        <v>66</v>
      </c>
      <c r="E23" s="2" t="s">
        <v>31</v>
      </c>
      <c r="F23" s="2" t="s">
        <v>30</v>
      </c>
      <c r="G23" s="2" t="s">
        <v>33</v>
      </c>
      <c r="H23" s="2">
        <v>50558</v>
      </c>
      <c r="I23" s="2" t="s">
        <v>32</v>
      </c>
      <c r="J23" s="2">
        <v>6000</v>
      </c>
      <c r="K23" s="2" t="s">
        <v>34</v>
      </c>
      <c r="L23" s="2">
        <v>64</v>
      </c>
      <c r="M23" s="2">
        <v>46742</v>
      </c>
      <c r="N23" s="2">
        <v>52</v>
      </c>
      <c r="O23" s="2">
        <v>57236254</v>
      </c>
      <c r="P23" s="2">
        <v>2537496205</v>
      </c>
      <c r="Q23" s="2" t="s">
        <v>36</v>
      </c>
      <c r="R23" s="2">
        <v>589</v>
      </c>
      <c r="S23" s="2">
        <v>0</v>
      </c>
    </row>
    <row r="24" spans="1:19">
      <c r="A24" s="2">
        <v>23</v>
      </c>
      <c r="B24" s="4">
        <v>46268.005327443658</v>
      </c>
      <c r="C24" s="5">
        <v>0.40259400000000001</v>
      </c>
      <c r="D24" s="2">
        <v>1500</v>
      </c>
      <c r="E24" s="2" t="s">
        <v>31</v>
      </c>
      <c r="F24" s="2" t="s">
        <v>30</v>
      </c>
      <c r="G24" s="2" t="s">
        <v>33</v>
      </c>
      <c r="H24" s="2">
        <v>44464</v>
      </c>
      <c r="I24" s="2" t="s">
        <v>32</v>
      </c>
      <c r="J24" s="2">
        <v>8080</v>
      </c>
      <c r="K24" s="2" t="s">
        <v>34</v>
      </c>
      <c r="L24" s="2">
        <v>64</v>
      </c>
      <c r="M24" s="2">
        <v>331</v>
      </c>
      <c r="N24" s="2">
        <v>2638</v>
      </c>
      <c r="O24" s="2">
        <v>1034027263</v>
      </c>
      <c r="P24" s="2">
        <v>3989245211</v>
      </c>
      <c r="Q24" s="2" t="s">
        <v>35</v>
      </c>
      <c r="R24" s="2">
        <v>501</v>
      </c>
      <c r="S24" s="2">
        <v>1434</v>
      </c>
    </row>
    <row r="25" spans="1:19">
      <c r="A25" s="2">
        <v>24</v>
      </c>
      <c r="B25" s="4">
        <v>46268.005327443869</v>
      </c>
      <c r="C25" s="5">
        <v>0.40261200000000003</v>
      </c>
      <c r="D25" s="2">
        <v>66</v>
      </c>
      <c r="E25" s="2" t="s">
        <v>30</v>
      </c>
      <c r="F25" s="2" t="s">
        <v>31</v>
      </c>
      <c r="G25" s="2" t="s">
        <v>32</v>
      </c>
      <c r="H25" s="2">
        <v>8080</v>
      </c>
      <c r="I25" s="2" t="s">
        <v>33</v>
      </c>
      <c r="J25" s="2">
        <v>44464</v>
      </c>
      <c r="K25" s="2" t="s">
        <v>34</v>
      </c>
      <c r="L25" s="2">
        <v>64</v>
      </c>
      <c r="M25" s="2">
        <v>13792</v>
      </c>
      <c r="N25" s="2">
        <v>52</v>
      </c>
      <c r="O25" s="2">
        <v>3989245211</v>
      </c>
      <c r="P25" s="2">
        <v>1034029849</v>
      </c>
      <c r="Q25" s="2" t="s">
        <v>36</v>
      </c>
      <c r="R25" s="2">
        <v>545</v>
      </c>
      <c r="S25" s="2">
        <v>0</v>
      </c>
    </row>
    <row r="26" spans="1:19">
      <c r="A26" s="2">
        <v>25</v>
      </c>
      <c r="B26" s="4">
        <v>46268.005330648593</v>
      </c>
      <c r="C26" s="5">
        <v>0.67949999999999999</v>
      </c>
      <c r="D26" s="2">
        <v>187</v>
      </c>
      <c r="E26" s="2" t="s">
        <v>30</v>
      </c>
      <c r="F26" s="2" t="s">
        <v>31</v>
      </c>
      <c r="G26" s="2" t="s">
        <v>32</v>
      </c>
      <c r="H26" s="2">
        <v>8080</v>
      </c>
      <c r="I26" s="2" t="s">
        <v>33</v>
      </c>
      <c r="J26" s="2">
        <v>44464</v>
      </c>
      <c r="K26" s="2" t="s">
        <v>34</v>
      </c>
      <c r="L26" s="2">
        <v>64</v>
      </c>
      <c r="M26" s="2">
        <v>13793</v>
      </c>
      <c r="N26" s="2">
        <v>173</v>
      </c>
      <c r="O26" s="2">
        <v>3989245211</v>
      </c>
      <c r="P26" s="2">
        <v>1034029849</v>
      </c>
      <c r="Q26" s="2" t="s">
        <v>35</v>
      </c>
      <c r="R26" s="2">
        <v>545</v>
      </c>
      <c r="S26" s="2">
        <v>121</v>
      </c>
    </row>
    <row r="27" spans="1:19">
      <c r="A27" s="2">
        <v>26</v>
      </c>
      <c r="B27" s="4">
        <v>46268.005330649183</v>
      </c>
      <c r="C27" s="5">
        <v>0.67955100000000002</v>
      </c>
      <c r="D27" s="2">
        <v>66</v>
      </c>
      <c r="E27" s="2" t="s">
        <v>31</v>
      </c>
      <c r="F27" s="2" t="s">
        <v>30</v>
      </c>
      <c r="G27" s="2" t="s">
        <v>33</v>
      </c>
      <c r="H27" s="2">
        <v>44464</v>
      </c>
      <c r="I27" s="2" t="s">
        <v>32</v>
      </c>
      <c r="J27" s="2">
        <v>8080</v>
      </c>
      <c r="K27" s="2" t="s">
        <v>34</v>
      </c>
      <c r="L27" s="2">
        <v>64</v>
      </c>
      <c r="M27" s="2">
        <v>333</v>
      </c>
      <c r="N27" s="2">
        <v>52</v>
      </c>
      <c r="O27" s="2">
        <v>1034029849</v>
      </c>
      <c r="P27" s="2">
        <v>3989245332</v>
      </c>
      <c r="Q27" s="2" t="s">
        <v>36</v>
      </c>
      <c r="R27" s="2">
        <v>501</v>
      </c>
      <c r="S27" s="2">
        <v>0</v>
      </c>
    </row>
    <row r="28" spans="1:19">
      <c r="A28" s="2">
        <v>27</v>
      </c>
      <c r="B28" s="4">
        <v>46268.0053306669</v>
      </c>
      <c r="C28" s="5">
        <v>0.68108199999999997</v>
      </c>
      <c r="D28" s="2">
        <v>199</v>
      </c>
      <c r="E28" s="2" t="s">
        <v>30</v>
      </c>
      <c r="F28" s="2" t="s">
        <v>31</v>
      </c>
      <c r="G28" s="2" t="s">
        <v>32</v>
      </c>
      <c r="H28" s="2">
        <v>8080</v>
      </c>
      <c r="I28" s="2" t="s">
        <v>33</v>
      </c>
      <c r="J28" s="2">
        <v>44464</v>
      </c>
      <c r="K28" s="2" t="s">
        <v>34</v>
      </c>
      <c r="L28" s="2">
        <v>64</v>
      </c>
      <c r="M28" s="2">
        <v>13794</v>
      </c>
      <c r="N28" s="2">
        <v>185</v>
      </c>
      <c r="O28" s="2">
        <v>3989245332</v>
      </c>
      <c r="P28" s="2">
        <v>1034029849</v>
      </c>
      <c r="Q28" s="2" t="s">
        <v>35</v>
      </c>
      <c r="R28" s="2">
        <v>545</v>
      </c>
      <c r="S28" s="2">
        <v>133</v>
      </c>
    </row>
    <row r="29" spans="1:19">
      <c r="A29" s="2">
        <v>28</v>
      </c>
      <c r="B29" s="4">
        <v>46268.005330667213</v>
      </c>
      <c r="C29" s="5">
        <v>0.68110899999999996</v>
      </c>
      <c r="D29" s="2">
        <v>66</v>
      </c>
      <c r="E29" s="2" t="s">
        <v>31</v>
      </c>
      <c r="F29" s="2" t="s">
        <v>30</v>
      </c>
      <c r="G29" s="2" t="s">
        <v>33</v>
      </c>
      <c r="H29" s="2">
        <v>44464</v>
      </c>
      <c r="I29" s="2" t="s">
        <v>32</v>
      </c>
      <c r="J29" s="2">
        <v>8080</v>
      </c>
      <c r="K29" s="2" t="s">
        <v>34</v>
      </c>
      <c r="L29" s="2">
        <v>64</v>
      </c>
      <c r="M29" s="2">
        <v>334</v>
      </c>
      <c r="N29" s="2">
        <v>52</v>
      </c>
      <c r="O29" s="2">
        <v>1034029849</v>
      </c>
      <c r="P29" s="2">
        <v>3989245465</v>
      </c>
      <c r="Q29" s="2" t="s">
        <v>36</v>
      </c>
      <c r="R29" s="2">
        <v>501</v>
      </c>
      <c r="S29" s="2">
        <v>0</v>
      </c>
    </row>
    <row r="30" spans="1:19">
      <c r="A30" s="2">
        <v>29</v>
      </c>
      <c r="B30" s="4">
        <v>46268.005330737396</v>
      </c>
      <c r="C30" s="5">
        <v>0.68717300000000003</v>
      </c>
      <c r="D30" s="2">
        <v>70</v>
      </c>
      <c r="E30" s="2" t="s">
        <v>30</v>
      </c>
      <c r="F30" s="2" t="s">
        <v>31</v>
      </c>
      <c r="G30" s="2" t="s">
        <v>32</v>
      </c>
      <c r="H30" s="2">
        <v>8080</v>
      </c>
      <c r="I30" s="2" t="s">
        <v>33</v>
      </c>
      <c r="J30" s="2">
        <v>44464</v>
      </c>
      <c r="K30" s="2" t="s">
        <v>34</v>
      </c>
      <c r="L30" s="2">
        <v>64</v>
      </c>
      <c r="M30" s="2">
        <v>13795</v>
      </c>
      <c r="N30" s="2">
        <v>56</v>
      </c>
      <c r="O30" s="2">
        <v>3989245465</v>
      </c>
      <c r="P30" s="2">
        <v>1034029849</v>
      </c>
      <c r="Q30" s="2" t="s">
        <v>35</v>
      </c>
      <c r="R30" s="2">
        <v>545</v>
      </c>
      <c r="S30" s="2">
        <v>4</v>
      </c>
    </row>
    <row r="31" spans="1:19">
      <c r="A31" s="2">
        <v>30</v>
      </c>
      <c r="B31" s="4">
        <v>46268.005330737913</v>
      </c>
      <c r="C31" s="5">
        <v>0.68721699999999997</v>
      </c>
      <c r="D31" s="2">
        <v>66</v>
      </c>
      <c r="E31" s="2" t="s">
        <v>31</v>
      </c>
      <c r="F31" s="2" t="s">
        <v>30</v>
      </c>
      <c r="G31" s="2" t="s">
        <v>33</v>
      </c>
      <c r="H31" s="2">
        <v>44464</v>
      </c>
      <c r="I31" s="2" t="s">
        <v>32</v>
      </c>
      <c r="J31" s="2">
        <v>8080</v>
      </c>
      <c r="K31" s="2" t="s">
        <v>34</v>
      </c>
      <c r="L31" s="2">
        <v>64</v>
      </c>
      <c r="M31" s="2">
        <v>335</v>
      </c>
      <c r="N31" s="2">
        <v>52</v>
      </c>
      <c r="O31" s="2">
        <v>1034029849</v>
      </c>
      <c r="P31" s="2">
        <v>3989245469</v>
      </c>
      <c r="Q31" s="2" t="s">
        <v>36</v>
      </c>
      <c r="R31" s="2">
        <v>501</v>
      </c>
      <c r="S31" s="2">
        <v>0</v>
      </c>
    </row>
    <row r="32" spans="1:19">
      <c r="A32" s="2">
        <v>31</v>
      </c>
      <c r="B32" s="4">
        <v>46268.005330738248</v>
      </c>
      <c r="C32" s="5">
        <v>0.68724700000000005</v>
      </c>
      <c r="D32" s="2">
        <v>1112</v>
      </c>
      <c r="E32" s="2" t="s">
        <v>30</v>
      </c>
      <c r="F32" s="2" t="s">
        <v>31</v>
      </c>
      <c r="G32" s="2" t="s">
        <v>32</v>
      </c>
      <c r="H32" s="2">
        <v>8080</v>
      </c>
      <c r="I32" s="2" t="s">
        <v>33</v>
      </c>
      <c r="J32" s="2">
        <v>44464</v>
      </c>
      <c r="K32" s="2" t="s">
        <v>34</v>
      </c>
      <c r="L32" s="2">
        <v>64</v>
      </c>
      <c r="M32" s="2">
        <v>13796</v>
      </c>
      <c r="N32" s="2">
        <v>1098</v>
      </c>
      <c r="O32" s="2">
        <v>3989245469</v>
      </c>
      <c r="P32" s="2">
        <v>1034029849</v>
      </c>
      <c r="Q32" s="2" t="s">
        <v>35</v>
      </c>
      <c r="R32" s="2">
        <v>545</v>
      </c>
      <c r="S32" s="2">
        <v>1046</v>
      </c>
    </row>
    <row r="33" spans="1:19">
      <c r="A33" s="2">
        <v>32</v>
      </c>
      <c r="B33" s="4">
        <v>46268.005330738357</v>
      </c>
      <c r="C33" s="5">
        <v>0.68725599999999998</v>
      </c>
      <c r="D33" s="2">
        <v>66</v>
      </c>
      <c r="E33" s="2" t="s">
        <v>31</v>
      </c>
      <c r="F33" s="2" t="s">
        <v>30</v>
      </c>
      <c r="G33" s="2" t="s">
        <v>33</v>
      </c>
      <c r="H33" s="2">
        <v>44464</v>
      </c>
      <c r="I33" s="2" t="s">
        <v>32</v>
      </c>
      <c r="J33" s="2">
        <v>8080</v>
      </c>
      <c r="K33" s="2" t="s">
        <v>34</v>
      </c>
      <c r="L33" s="2">
        <v>64</v>
      </c>
      <c r="M33" s="2">
        <v>336</v>
      </c>
      <c r="N33" s="2">
        <v>52</v>
      </c>
      <c r="O33" s="2">
        <v>1034029849</v>
      </c>
      <c r="P33" s="2">
        <v>3989246515</v>
      </c>
      <c r="Q33" s="2" t="s">
        <v>36</v>
      </c>
      <c r="R33" s="2">
        <v>524</v>
      </c>
      <c r="S33" s="2">
        <v>0</v>
      </c>
    </row>
    <row r="34" spans="1:19">
      <c r="A34" s="2">
        <v>33</v>
      </c>
      <c r="B34" s="4">
        <v>46268.005332557877</v>
      </c>
      <c r="C34" s="5">
        <v>0.84446299999999996</v>
      </c>
      <c r="D34" s="2">
        <v>1500</v>
      </c>
      <c r="E34" s="2" t="s">
        <v>31</v>
      </c>
      <c r="F34" s="2" t="s">
        <v>30</v>
      </c>
      <c r="G34" s="2" t="s">
        <v>33</v>
      </c>
      <c r="H34" s="2">
        <v>44464</v>
      </c>
      <c r="I34" s="2" t="s">
        <v>32</v>
      </c>
      <c r="J34" s="2">
        <v>8080</v>
      </c>
      <c r="K34" s="2" t="s">
        <v>34</v>
      </c>
      <c r="L34" s="2">
        <v>64</v>
      </c>
      <c r="M34" s="2">
        <v>337</v>
      </c>
      <c r="N34" s="2">
        <v>3182</v>
      </c>
      <c r="O34" s="2">
        <v>1034029849</v>
      </c>
      <c r="P34" s="2">
        <v>3989246515</v>
      </c>
      <c r="Q34" s="2" t="s">
        <v>35</v>
      </c>
      <c r="R34" s="2">
        <v>524</v>
      </c>
      <c r="S34" s="2">
        <v>1434</v>
      </c>
    </row>
    <row r="35" spans="1:19">
      <c r="A35" s="2">
        <v>34</v>
      </c>
      <c r="B35" s="4">
        <v>46268.005332558081</v>
      </c>
      <c r="C35" s="5">
        <v>0.84448000000000001</v>
      </c>
      <c r="D35" s="2">
        <v>66</v>
      </c>
      <c r="E35" s="2" t="s">
        <v>30</v>
      </c>
      <c r="F35" s="2" t="s">
        <v>31</v>
      </c>
      <c r="G35" s="2" t="s">
        <v>32</v>
      </c>
      <c r="H35" s="2">
        <v>8080</v>
      </c>
      <c r="I35" s="2" t="s">
        <v>33</v>
      </c>
      <c r="J35" s="2">
        <v>44464</v>
      </c>
      <c r="K35" s="2" t="s">
        <v>34</v>
      </c>
      <c r="L35" s="2">
        <v>64</v>
      </c>
      <c r="M35" s="2">
        <v>13797</v>
      </c>
      <c r="N35" s="2">
        <v>52</v>
      </c>
      <c r="O35" s="2">
        <v>3989246515</v>
      </c>
      <c r="P35" s="2">
        <v>1034032979</v>
      </c>
      <c r="Q35" s="2" t="s">
        <v>36</v>
      </c>
      <c r="R35" s="2">
        <v>594</v>
      </c>
      <c r="S35" s="2">
        <v>0</v>
      </c>
    </row>
    <row r="36" spans="1:19">
      <c r="A36" s="2">
        <v>35</v>
      </c>
      <c r="B36" s="4">
        <v>46268.005332627909</v>
      </c>
      <c r="C36" s="5">
        <v>0.85051299999999996</v>
      </c>
      <c r="D36" s="2">
        <v>361</v>
      </c>
      <c r="E36" s="2" t="s">
        <v>30</v>
      </c>
      <c r="F36" s="2" t="s">
        <v>31</v>
      </c>
      <c r="G36" s="2" t="s">
        <v>32</v>
      </c>
      <c r="H36" s="2">
        <v>8080</v>
      </c>
      <c r="I36" s="2" t="s">
        <v>33</v>
      </c>
      <c r="J36" s="2">
        <v>44464</v>
      </c>
      <c r="K36" s="2" t="s">
        <v>34</v>
      </c>
      <c r="L36" s="2">
        <v>64</v>
      </c>
      <c r="M36" s="2">
        <v>13798</v>
      </c>
      <c r="N36" s="2">
        <v>347</v>
      </c>
      <c r="O36" s="2">
        <v>3989246515</v>
      </c>
      <c r="P36" s="2">
        <v>1034032979</v>
      </c>
      <c r="Q36" s="2" t="s">
        <v>35</v>
      </c>
      <c r="R36" s="2">
        <v>594</v>
      </c>
      <c r="S36" s="2">
        <v>295</v>
      </c>
    </row>
    <row r="37" spans="1:19">
      <c r="A37" s="2">
        <v>36</v>
      </c>
      <c r="B37" s="4">
        <v>46268.00533262844</v>
      </c>
      <c r="C37" s="5">
        <v>0.85055899999999995</v>
      </c>
      <c r="D37" s="2">
        <v>66</v>
      </c>
      <c r="E37" s="2" t="s">
        <v>31</v>
      </c>
      <c r="F37" s="2" t="s">
        <v>30</v>
      </c>
      <c r="G37" s="2" t="s">
        <v>33</v>
      </c>
      <c r="H37" s="2">
        <v>44464</v>
      </c>
      <c r="I37" s="2" t="s">
        <v>32</v>
      </c>
      <c r="J37" s="2">
        <v>8080</v>
      </c>
      <c r="K37" s="2" t="s">
        <v>34</v>
      </c>
      <c r="L37" s="2">
        <v>64</v>
      </c>
      <c r="M37" s="2">
        <v>340</v>
      </c>
      <c r="N37" s="2">
        <v>52</v>
      </c>
      <c r="O37" s="2">
        <v>1034032979</v>
      </c>
      <c r="P37" s="2">
        <v>3989246810</v>
      </c>
      <c r="Q37" s="2" t="s">
        <v>36</v>
      </c>
      <c r="R37" s="2">
        <v>527</v>
      </c>
      <c r="S37" s="2">
        <v>0</v>
      </c>
    </row>
    <row r="38" spans="1:19">
      <c r="A38" s="2">
        <v>37</v>
      </c>
      <c r="B38" s="4">
        <v>46268.005332809313</v>
      </c>
      <c r="C38" s="5">
        <v>0.86618600000000001</v>
      </c>
      <c r="D38" s="2">
        <v>361</v>
      </c>
      <c r="E38" s="2" t="s">
        <v>30</v>
      </c>
      <c r="F38" s="2" t="s">
        <v>31</v>
      </c>
      <c r="G38" s="2" t="s">
        <v>32</v>
      </c>
      <c r="H38" s="2">
        <v>8080</v>
      </c>
      <c r="I38" s="2" t="s">
        <v>33</v>
      </c>
      <c r="J38" s="2">
        <v>44464</v>
      </c>
      <c r="K38" s="2" t="s">
        <v>34</v>
      </c>
      <c r="L38" s="2">
        <v>64</v>
      </c>
      <c r="M38" s="2">
        <v>13799</v>
      </c>
      <c r="N38" s="2">
        <v>347</v>
      </c>
      <c r="O38" s="2">
        <v>3989246810</v>
      </c>
      <c r="P38" s="2">
        <v>1034032979</v>
      </c>
      <c r="Q38" s="2" t="s">
        <v>35</v>
      </c>
      <c r="R38" s="2">
        <v>594</v>
      </c>
      <c r="S38" s="2">
        <v>295</v>
      </c>
    </row>
    <row r="39" spans="1:19">
      <c r="A39" s="2">
        <v>38</v>
      </c>
      <c r="B39" s="4">
        <v>46268.005332809793</v>
      </c>
      <c r="C39" s="5">
        <v>0.866228</v>
      </c>
      <c r="D39" s="2">
        <v>66</v>
      </c>
      <c r="E39" s="2" t="s">
        <v>31</v>
      </c>
      <c r="F39" s="2" t="s">
        <v>30</v>
      </c>
      <c r="G39" s="2" t="s">
        <v>33</v>
      </c>
      <c r="H39" s="2">
        <v>44464</v>
      </c>
      <c r="I39" s="2" t="s">
        <v>32</v>
      </c>
      <c r="J39" s="2">
        <v>8080</v>
      </c>
      <c r="K39" s="2" t="s">
        <v>34</v>
      </c>
      <c r="L39" s="2">
        <v>64</v>
      </c>
      <c r="M39" s="2">
        <v>341</v>
      </c>
      <c r="N39" s="2">
        <v>52</v>
      </c>
      <c r="O39" s="2">
        <v>1034032979</v>
      </c>
      <c r="P39" s="2">
        <v>3989247105</v>
      </c>
      <c r="Q39" s="2" t="s">
        <v>36</v>
      </c>
      <c r="R39" s="2">
        <v>527</v>
      </c>
      <c r="S39" s="2">
        <v>0</v>
      </c>
    </row>
    <row r="40" spans="1:19">
      <c r="A40" s="2">
        <v>39</v>
      </c>
      <c r="B40" s="4">
        <v>46268.005332837049</v>
      </c>
      <c r="C40" s="5">
        <v>0.86858299999999999</v>
      </c>
      <c r="D40" s="2">
        <v>198</v>
      </c>
      <c r="E40" s="2" t="s">
        <v>30</v>
      </c>
      <c r="F40" s="2" t="s">
        <v>31</v>
      </c>
      <c r="G40" s="2" t="s">
        <v>32</v>
      </c>
      <c r="H40" s="2">
        <v>8080</v>
      </c>
      <c r="I40" s="2" t="s">
        <v>33</v>
      </c>
      <c r="J40" s="2">
        <v>44464</v>
      </c>
      <c r="K40" s="2" t="s">
        <v>34</v>
      </c>
      <c r="L40" s="2">
        <v>64</v>
      </c>
      <c r="M40" s="2">
        <v>13800</v>
      </c>
      <c r="N40" s="2">
        <v>184</v>
      </c>
      <c r="O40" s="2">
        <v>3989247105</v>
      </c>
      <c r="P40" s="2">
        <v>1034032979</v>
      </c>
      <c r="Q40" s="2" t="s">
        <v>35</v>
      </c>
      <c r="R40" s="2">
        <v>594</v>
      </c>
      <c r="S40" s="2">
        <v>132</v>
      </c>
    </row>
    <row r="41" spans="1:19">
      <c r="A41" s="2">
        <v>40</v>
      </c>
      <c r="B41" s="4">
        <v>46268.005332837492</v>
      </c>
      <c r="C41" s="5">
        <v>0.86862099999999998</v>
      </c>
      <c r="D41" s="2">
        <v>66</v>
      </c>
      <c r="E41" s="2" t="s">
        <v>31</v>
      </c>
      <c r="F41" s="2" t="s">
        <v>30</v>
      </c>
      <c r="G41" s="2" t="s">
        <v>33</v>
      </c>
      <c r="H41" s="2">
        <v>44464</v>
      </c>
      <c r="I41" s="2" t="s">
        <v>32</v>
      </c>
      <c r="J41" s="2">
        <v>8080</v>
      </c>
      <c r="K41" s="2" t="s">
        <v>34</v>
      </c>
      <c r="L41" s="2">
        <v>64</v>
      </c>
      <c r="M41" s="2">
        <v>342</v>
      </c>
      <c r="N41" s="2">
        <v>52</v>
      </c>
      <c r="O41" s="2">
        <v>1034032979</v>
      </c>
      <c r="P41" s="2">
        <v>3989247237</v>
      </c>
      <c r="Q41" s="2" t="s">
        <v>36</v>
      </c>
      <c r="R41" s="2">
        <v>528</v>
      </c>
      <c r="S41" s="2">
        <v>0</v>
      </c>
    </row>
    <row r="42" spans="1:19">
      <c r="A42" s="2">
        <v>41</v>
      </c>
      <c r="B42" s="4">
        <v>46268.005332843743</v>
      </c>
      <c r="C42" s="5">
        <v>0.86916099999999996</v>
      </c>
      <c r="D42" s="2">
        <v>169</v>
      </c>
      <c r="E42" s="2" t="s">
        <v>30</v>
      </c>
      <c r="F42" s="2" t="s">
        <v>31</v>
      </c>
      <c r="G42" s="2" t="s">
        <v>32</v>
      </c>
      <c r="H42" s="2">
        <v>8080</v>
      </c>
      <c r="I42" s="2" t="s">
        <v>33</v>
      </c>
      <c r="J42" s="2">
        <v>44464</v>
      </c>
      <c r="K42" s="2" t="s">
        <v>34</v>
      </c>
      <c r="L42" s="2">
        <v>64</v>
      </c>
      <c r="M42" s="2">
        <v>13801</v>
      </c>
      <c r="N42" s="2">
        <v>155</v>
      </c>
      <c r="O42" s="2">
        <v>3989247237</v>
      </c>
      <c r="P42" s="2">
        <v>1034032979</v>
      </c>
      <c r="Q42" s="2" t="s">
        <v>35</v>
      </c>
      <c r="R42" s="2">
        <v>594</v>
      </c>
      <c r="S42" s="2">
        <v>103</v>
      </c>
    </row>
    <row r="43" spans="1:19">
      <c r="A43" s="2">
        <v>42</v>
      </c>
      <c r="B43" s="4">
        <v>46268.005332843997</v>
      </c>
      <c r="C43" s="5">
        <v>0.86918399999999996</v>
      </c>
      <c r="D43" s="2">
        <v>66</v>
      </c>
      <c r="E43" s="2" t="s">
        <v>31</v>
      </c>
      <c r="F43" s="2" t="s">
        <v>30</v>
      </c>
      <c r="G43" s="2" t="s">
        <v>33</v>
      </c>
      <c r="H43" s="2">
        <v>44464</v>
      </c>
      <c r="I43" s="2" t="s">
        <v>32</v>
      </c>
      <c r="J43" s="2">
        <v>8080</v>
      </c>
      <c r="K43" s="2" t="s">
        <v>34</v>
      </c>
      <c r="L43" s="2">
        <v>64</v>
      </c>
      <c r="M43" s="2">
        <v>343</v>
      </c>
      <c r="N43" s="2">
        <v>52</v>
      </c>
      <c r="O43" s="2">
        <v>1034032979</v>
      </c>
      <c r="P43" s="2">
        <v>3989247340</v>
      </c>
      <c r="Q43" s="2" t="s">
        <v>36</v>
      </c>
      <c r="R43" s="2">
        <v>528</v>
      </c>
      <c r="S43" s="2">
        <v>0</v>
      </c>
    </row>
    <row r="44" spans="1:19">
      <c r="A44" s="2">
        <v>43</v>
      </c>
      <c r="B44" s="4">
        <v>46268.005334484689</v>
      </c>
      <c r="C44" s="5">
        <v>1.010939</v>
      </c>
      <c r="D44" s="2">
        <v>108</v>
      </c>
      <c r="E44" s="2" t="s">
        <v>31</v>
      </c>
      <c r="F44" s="2" t="s">
        <v>30</v>
      </c>
      <c r="G44" s="2" t="s">
        <v>33</v>
      </c>
      <c r="H44" s="2">
        <v>44464</v>
      </c>
      <c r="I44" s="2" t="s">
        <v>32</v>
      </c>
      <c r="J44" s="2">
        <v>8080</v>
      </c>
      <c r="K44" s="2" t="s">
        <v>34</v>
      </c>
      <c r="L44" s="2">
        <v>64</v>
      </c>
      <c r="M44" s="2">
        <v>344</v>
      </c>
      <c r="N44" s="2">
        <v>94</v>
      </c>
      <c r="O44" s="2">
        <v>1034032979</v>
      </c>
      <c r="P44" s="2">
        <v>3989247340</v>
      </c>
      <c r="Q44" s="2" t="s">
        <v>35</v>
      </c>
      <c r="R44" s="2">
        <v>528</v>
      </c>
      <c r="S44" s="2">
        <v>42</v>
      </c>
    </row>
    <row r="45" spans="1:19">
      <c r="A45" s="2">
        <v>44</v>
      </c>
      <c r="B45" s="4">
        <v>46268.00533457553</v>
      </c>
      <c r="C45" s="5">
        <v>1.018788</v>
      </c>
      <c r="D45" s="2">
        <v>108</v>
      </c>
      <c r="E45" s="2" t="s">
        <v>31</v>
      </c>
      <c r="F45" s="2" t="s">
        <v>30</v>
      </c>
      <c r="G45" s="2" t="s">
        <v>33</v>
      </c>
      <c r="H45" s="2">
        <v>44464</v>
      </c>
      <c r="I45" s="2" t="s">
        <v>32</v>
      </c>
      <c r="J45" s="2">
        <v>8080</v>
      </c>
      <c r="K45" s="2" t="s">
        <v>34</v>
      </c>
      <c r="L45" s="2">
        <v>64</v>
      </c>
      <c r="M45" s="2">
        <v>345</v>
      </c>
      <c r="N45" s="2">
        <v>94</v>
      </c>
      <c r="O45" s="2">
        <v>1034032979</v>
      </c>
      <c r="P45" s="2">
        <v>3989247340</v>
      </c>
      <c r="Q45" s="2" t="s">
        <v>35</v>
      </c>
      <c r="R45" s="2">
        <v>528</v>
      </c>
      <c r="S45" s="2">
        <v>42</v>
      </c>
    </row>
    <row r="46" spans="1:19">
      <c r="A46" s="2">
        <v>45</v>
      </c>
      <c r="B46" s="4">
        <v>46268.005334575741</v>
      </c>
      <c r="C46" s="5">
        <v>1.0188060000000001</v>
      </c>
      <c r="D46" s="2">
        <v>78</v>
      </c>
      <c r="E46" s="2" t="s">
        <v>30</v>
      </c>
      <c r="F46" s="2" t="s">
        <v>31</v>
      </c>
      <c r="G46" s="2" t="s">
        <v>32</v>
      </c>
      <c r="H46" s="2">
        <v>8080</v>
      </c>
      <c r="I46" s="2" t="s">
        <v>33</v>
      </c>
      <c r="J46" s="2">
        <v>44464</v>
      </c>
      <c r="K46" s="2" t="s">
        <v>34</v>
      </c>
      <c r="L46" s="2">
        <v>64</v>
      </c>
      <c r="M46" s="2">
        <v>13802</v>
      </c>
      <c r="N46" s="2">
        <v>64</v>
      </c>
      <c r="O46" s="2">
        <v>3989247340</v>
      </c>
      <c r="P46" s="2">
        <v>1034033021</v>
      </c>
      <c r="Q46" s="2" t="s">
        <v>36</v>
      </c>
      <c r="R46" s="2">
        <v>594</v>
      </c>
      <c r="S46" s="2">
        <v>0</v>
      </c>
    </row>
    <row r="47" spans="1:19">
      <c r="A47" s="2">
        <v>46</v>
      </c>
      <c r="B47" s="4">
        <v>46268.005334656802</v>
      </c>
      <c r="C47" s="5">
        <v>1.0258100000000001</v>
      </c>
      <c r="D47" s="2">
        <v>621</v>
      </c>
      <c r="E47" s="2" t="s">
        <v>31</v>
      </c>
      <c r="F47" s="2" t="s">
        <v>30</v>
      </c>
      <c r="G47" s="2" t="s">
        <v>33</v>
      </c>
      <c r="H47" s="2">
        <v>44464</v>
      </c>
      <c r="I47" s="2" t="s">
        <v>32</v>
      </c>
      <c r="J47" s="2">
        <v>8080</v>
      </c>
      <c r="K47" s="2" t="s">
        <v>34</v>
      </c>
      <c r="L47" s="2">
        <v>64</v>
      </c>
      <c r="M47" s="2">
        <v>346</v>
      </c>
      <c r="N47" s="2">
        <v>607</v>
      </c>
      <c r="O47" s="2">
        <v>1034033021</v>
      </c>
      <c r="P47" s="2">
        <v>3989247340</v>
      </c>
      <c r="Q47" s="2" t="s">
        <v>35</v>
      </c>
      <c r="R47" s="2">
        <v>528</v>
      </c>
      <c r="S47" s="2">
        <v>555</v>
      </c>
    </row>
    <row r="48" spans="1:19">
      <c r="A48" s="2">
        <v>47</v>
      </c>
      <c r="B48" s="4">
        <v>46268.005334656969</v>
      </c>
      <c r="C48" s="5">
        <v>1.0258240000000001</v>
      </c>
      <c r="D48" s="2">
        <v>66</v>
      </c>
      <c r="E48" s="2" t="s">
        <v>30</v>
      </c>
      <c r="F48" s="2" t="s">
        <v>31</v>
      </c>
      <c r="G48" s="2" t="s">
        <v>32</v>
      </c>
      <c r="H48" s="2">
        <v>8080</v>
      </c>
      <c r="I48" s="2" t="s">
        <v>33</v>
      </c>
      <c r="J48" s="2">
        <v>44464</v>
      </c>
      <c r="K48" s="2" t="s">
        <v>34</v>
      </c>
      <c r="L48" s="2">
        <v>64</v>
      </c>
      <c r="M48" s="2">
        <v>13803</v>
      </c>
      <c r="N48" s="2">
        <v>52</v>
      </c>
      <c r="O48" s="2">
        <v>3989247340</v>
      </c>
      <c r="P48" s="2">
        <v>1034033576</v>
      </c>
      <c r="Q48" s="2" t="s">
        <v>36</v>
      </c>
      <c r="R48" s="2">
        <v>616</v>
      </c>
      <c r="S48" s="2">
        <v>0</v>
      </c>
    </row>
    <row r="49" spans="1:19">
      <c r="A49" s="2">
        <v>48</v>
      </c>
      <c r="B49" s="4">
        <v>46268.005334739632</v>
      </c>
      <c r="C49" s="5">
        <v>1.0329660000000001</v>
      </c>
      <c r="D49" s="2">
        <v>254</v>
      </c>
      <c r="E49" s="2" t="s">
        <v>30</v>
      </c>
      <c r="F49" s="2" t="s">
        <v>31</v>
      </c>
      <c r="G49" s="2" t="s">
        <v>32</v>
      </c>
      <c r="H49" s="2">
        <v>8080</v>
      </c>
      <c r="I49" s="2" t="s">
        <v>33</v>
      </c>
      <c r="J49" s="2">
        <v>44464</v>
      </c>
      <c r="K49" s="2" t="s">
        <v>34</v>
      </c>
      <c r="L49" s="2">
        <v>64</v>
      </c>
      <c r="M49" s="2">
        <v>13804</v>
      </c>
      <c r="N49" s="2">
        <v>240</v>
      </c>
      <c r="O49" s="2">
        <v>3989247340</v>
      </c>
      <c r="P49" s="2">
        <v>1034033576</v>
      </c>
      <c r="Q49" s="2" t="s">
        <v>35</v>
      </c>
      <c r="R49" s="2">
        <v>616</v>
      </c>
      <c r="S49" s="2">
        <v>188</v>
      </c>
    </row>
    <row r="50" spans="1:19">
      <c r="A50" s="2">
        <v>49</v>
      </c>
      <c r="B50" s="4">
        <v>46268.005334740119</v>
      </c>
      <c r="C50" s="5">
        <v>1.0330079999999999</v>
      </c>
      <c r="D50" s="2">
        <v>66</v>
      </c>
      <c r="E50" s="2" t="s">
        <v>31</v>
      </c>
      <c r="F50" s="2" t="s">
        <v>30</v>
      </c>
      <c r="G50" s="2" t="s">
        <v>33</v>
      </c>
      <c r="H50" s="2">
        <v>44464</v>
      </c>
      <c r="I50" s="2" t="s">
        <v>32</v>
      </c>
      <c r="J50" s="2">
        <v>8080</v>
      </c>
      <c r="K50" s="2" t="s">
        <v>34</v>
      </c>
      <c r="L50" s="2">
        <v>64</v>
      </c>
      <c r="M50" s="2">
        <v>347</v>
      </c>
      <c r="N50" s="2">
        <v>52</v>
      </c>
      <c r="O50" s="2">
        <v>1034033576</v>
      </c>
      <c r="P50" s="2">
        <v>3989247528</v>
      </c>
      <c r="Q50" s="2" t="s">
        <v>36</v>
      </c>
      <c r="R50" s="2">
        <v>528</v>
      </c>
      <c r="S50" s="2">
        <v>0</v>
      </c>
    </row>
    <row r="51" spans="1:19">
      <c r="A51" s="2">
        <v>50</v>
      </c>
      <c r="B51" s="4">
        <v>46268.005334778107</v>
      </c>
      <c r="C51" s="5">
        <v>1.0362910000000001</v>
      </c>
      <c r="D51" s="2">
        <v>178</v>
      </c>
      <c r="E51" s="2" t="s">
        <v>30</v>
      </c>
      <c r="F51" s="2" t="s">
        <v>31</v>
      </c>
      <c r="G51" s="2" t="s">
        <v>32</v>
      </c>
      <c r="H51" s="2">
        <v>8080</v>
      </c>
      <c r="I51" s="2" t="s">
        <v>33</v>
      </c>
      <c r="J51" s="2">
        <v>44464</v>
      </c>
      <c r="K51" s="2" t="s">
        <v>34</v>
      </c>
      <c r="L51" s="2">
        <v>64</v>
      </c>
      <c r="M51" s="2">
        <v>13805</v>
      </c>
      <c r="N51" s="2">
        <v>164</v>
      </c>
      <c r="O51" s="2">
        <v>3989247528</v>
      </c>
      <c r="P51" s="2">
        <v>1034033576</v>
      </c>
      <c r="Q51" s="2" t="s">
        <v>35</v>
      </c>
      <c r="R51" s="2">
        <v>616</v>
      </c>
      <c r="S51" s="2">
        <v>112</v>
      </c>
    </row>
    <row r="52" spans="1:19">
      <c r="A52" s="2">
        <v>51</v>
      </c>
      <c r="B52" s="4">
        <v>46268.005334778529</v>
      </c>
      <c r="C52" s="5">
        <v>1.036327</v>
      </c>
      <c r="D52" s="2">
        <v>66</v>
      </c>
      <c r="E52" s="2" t="s">
        <v>31</v>
      </c>
      <c r="F52" s="2" t="s">
        <v>30</v>
      </c>
      <c r="G52" s="2" t="s">
        <v>33</v>
      </c>
      <c r="H52" s="2">
        <v>44464</v>
      </c>
      <c r="I52" s="2" t="s">
        <v>32</v>
      </c>
      <c r="J52" s="2">
        <v>8080</v>
      </c>
      <c r="K52" s="2" t="s">
        <v>34</v>
      </c>
      <c r="L52" s="2">
        <v>64</v>
      </c>
      <c r="M52" s="2">
        <v>348</v>
      </c>
      <c r="N52" s="2">
        <v>52</v>
      </c>
      <c r="O52" s="2">
        <v>1034033576</v>
      </c>
      <c r="P52" s="2">
        <v>3989247640</v>
      </c>
      <c r="Q52" s="2" t="s">
        <v>36</v>
      </c>
      <c r="R52" s="2">
        <v>528</v>
      </c>
      <c r="S52" s="2">
        <v>0</v>
      </c>
    </row>
    <row r="53" spans="1:19">
      <c r="A53" s="2">
        <v>52</v>
      </c>
      <c r="B53" s="4">
        <v>46268.005336589493</v>
      </c>
      <c r="C53" s="5">
        <v>1.1927939999999999</v>
      </c>
      <c r="D53" s="2">
        <v>151</v>
      </c>
      <c r="E53" s="2" t="s">
        <v>31</v>
      </c>
      <c r="F53" s="2" t="s">
        <v>30</v>
      </c>
      <c r="G53" s="2" t="s">
        <v>33</v>
      </c>
      <c r="H53" s="2">
        <v>44464</v>
      </c>
      <c r="I53" s="2" t="s">
        <v>32</v>
      </c>
      <c r="J53" s="2">
        <v>8080</v>
      </c>
      <c r="K53" s="2" t="s">
        <v>34</v>
      </c>
      <c r="L53" s="2">
        <v>64</v>
      </c>
      <c r="M53" s="2">
        <v>349</v>
      </c>
      <c r="N53" s="2">
        <v>137</v>
      </c>
      <c r="O53" s="2">
        <v>1034033576</v>
      </c>
      <c r="P53" s="2">
        <v>3989247640</v>
      </c>
      <c r="Q53" s="2" t="s">
        <v>35</v>
      </c>
      <c r="R53" s="2">
        <v>528</v>
      </c>
      <c r="S53" s="2">
        <v>85</v>
      </c>
    </row>
    <row r="54" spans="1:19">
      <c r="A54" s="2">
        <v>53</v>
      </c>
      <c r="B54" s="4">
        <v>46268.005336629212</v>
      </c>
      <c r="C54" s="5">
        <v>1.196226</v>
      </c>
      <c r="D54" s="2">
        <v>566</v>
      </c>
      <c r="E54" s="2" t="s">
        <v>31</v>
      </c>
      <c r="F54" s="2" t="s">
        <v>30</v>
      </c>
      <c r="G54" s="2" t="s">
        <v>33</v>
      </c>
      <c r="H54" s="2">
        <v>44464</v>
      </c>
      <c r="I54" s="2" t="s">
        <v>32</v>
      </c>
      <c r="J54" s="2">
        <v>8080</v>
      </c>
      <c r="K54" s="2" t="s">
        <v>34</v>
      </c>
      <c r="L54" s="2">
        <v>64</v>
      </c>
      <c r="M54" s="2">
        <v>350</v>
      </c>
      <c r="N54" s="2">
        <v>552</v>
      </c>
      <c r="O54" s="2">
        <v>1034033661</v>
      </c>
      <c r="P54" s="2">
        <v>3989247640</v>
      </c>
      <c r="Q54" s="2" t="s">
        <v>35</v>
      </c>
      <c r="R54" s="2">
        <v>528</v>
      </c>
      <c r="S54" s="2">
        <v>500</v>
      </c>
    </row>
    <row r="55" spans="1:19">
      <c r="A55" s="2">
        <v>54</v>
      </c>
      <c r="B55" s="4">
        <v>46268.005336649119</v>
      </c>
      <c r="C55" s="5">
        <v>1.197946</v>
      </c>
      <c r="D55" s="2">
        <v>66</v>
      </c>
      <c r="E55" s="2" t="s">
        <v>30</v>
      </c>
      <c r="F55" s="2" t="s">
        <v>31</v>
      </c>
      <c r="G55" s="2" t="s">
        <v>32</v>
      </c>
      <c r="H55" s="2">
        <v>8080</v>
      </c>
      <c r="I55" s="2" t="s">
        <v>33</v>
      </c>
      <c r="J55" s="2">
        <v>44464</v>
      </c>
      <c r="K55" s="2" t="s">
        <v>34</v>
      </c>
      <c r="L55" s="2">
        <v>64</v>
      </c>
      <c r="M55" s="2">
        <v>13806</v>
      </c>
      <c r="N55" s="2">
        <v>52</v>
      </c>
      <c r="O55" s="2">
        <v>3989247640</v>
      </c>
      <c r="P55" s="2">
        <v>1034034161</v>
      </c>
      <c r="Q55" s="2" t="s">
        <v>36</v>
      </c>
      <c r="R55" s="2">
        <v>639</v>
      </c>
      <c r="S55" s="2">
        <v>0</v>
      </c>
    </row>
    <row r="56" spans="1:19">
      <c r="A56" s="2">
        <v>55</v>
      </c>
      <c r="B56" s="4">
        <v>46268.005336861534</v>
      </c>
      <c r="C56" s="5">
        <v>1.2162980000000001</v>
      </c>
      <c r="D56" s="2">
        <v>228</v>
      </c>
      <c r="E56" s="2" t="s">
        <v>30</v>
      </c>
      <c r="F56" s="2" t="s">
        <v>31</v>
      </c>
      <c r="G56" s="2" t="s">
        <v>32</v>
      </c>
      <c r="H56" s="2">
        <v>8080</v>
      </c>
      <c r="I56" s="2" t="s">
        <v>33</v>
      </c>
      <c r="J56" s="2">
        <v>44464</v>
      </c>
      <c r="K56" s="2" t="s">
        <v>34</v>
      </c>
      <c r="L56" s="2">
        <v>64</v>
      </c>
      <c r="M56" s="2">
        <v>13807</v>
      </c>
      <c r="N56" s="2">
        <v>214</v>
      </c>
      <c r="O56" s="2">
        <v>3989247640</v>
      </c>
      <c r="P56" s="2">
        <v>1034034161</v>
      </c>
      <c r="Q56" s="2" t="s">
        <v>35</v>
      </c>
      <c r="R56" s="2">
        <v>639</v>
      </c>
      <c r="S56" s="2">
        <v>162</v>
      </c>
    </row>
    <row r="57" spans="1:19">
      <c r="A57" s="2">
        <v>56</v>
      </c>
      <c r="B57" s="4">
        <v>46268.005336862007</v>
      </c>
      <c r="C57" s="5">
        <v>1.21634</v>
      </c>
      <c r="D57" s="2">
        <v>66</v>
      </c>
      <c r="E57" s="2" t="s">
        <v>31</v>
      </c>
      <c r="F57" s="2" t="s">
        <v>30</v>
      </c>
      <c r="G57" s="2" t="s">
        <v>33</v>
      </c>
      <c r="H57" s="2">
        <v>44464</v>
      </c>
      <c r="I57" s="2" t="s">
        <v>32</v>
      </c>
      <c r="J57" s="2">
        <v>8080</v>
      </c>
      <c r="K57" s="2" t="s">
        <v>34</v>
      </c>
      <c r="L57" s="2">
        <v>64</v>
      </c>
      <c r="M57" s="2">
        <v>351</v>
      </c>
      <c r="N57" s="2">
        <v>52</v>
      </c>
      <c r="O57" s="2">
        <v>1034034161</v>
      </c>
      <c r="P57" s="2">
        <v>3989247802</v>
      </c>
      <c r="Q57" s="2" t="s">
        <v>36</v>
      </c>
      <c r="R57" s="2">
        <v>528</v>
      </c>
      <c r="S57" s="2">
        <v>0</v>
      </c>
    </row>
    <row r="58" spans="1:19">
      <c r="A58" s="2">
        <v>57</v>
      </c>
      <c r="B58" s="4">
        <v>46268.005336957023</v>
      </c>
      <c r="C58" s="5">
        <v>1.2245490000000001</v>
      </c>
      <c r="D58" s="2">
        <v>170</v>
      </c>
      <c r="E58" s="2" t="s">
        <v>30</v>
      </c>
      <c r="F58" s="2" t="s">
        <v>31</v>
      </c>
      <c r="G58" s="2" t="s">
        <v>32</v>
      </c>
      <c r="H58" s="2">
        <v>8080</v>
      </c>
      <c r="I58" s="2" t="s">
        <v>33</v>
      </c>
      <c r="J58" s="2">
        <v>44464</v>
      </c>
      <c r="K58" s="2" t="s">
        <v>34</v>
      </c>
      <c r="L58" s="2">
        <v>64</v>
      </c>
      <c r="M58" s="2">
        <v>13808</v>
      </c>
      <c r="N58" s="2">
        <v>156</v>
      </c>
      <c r="O58" s="2">
        <v>3989247802</v>
      </c>
      <c r="P58" s="2">
        <v>1034034161</v>
      </c>
      <c r="Q58" s="2" t="s">
        <v>35</v>
      </c>
      <c r="R58" s="2">
        <v>639</v>
      </c>
      <c r="S58" s="2">
        <v>104</v>
      </c>
    </row>
    <row r="59" spans="1:19">
      <c r="A59" s="2">
        <v>58</v>
      </c>
      <c r="B59" s="4">
        <v>46268.005336957533</v>
      </c>
      <c r="C59" s="5">
        <v>1.224593</v>
      </c>
      <c r="D59" s="2">
        <v>66</v>
      </c>
      <c r="E59" s="2" t="s">
        <v>31</v>
      </c>
      <c r="F59" s="2" t="s">
        <v>30</v>
      </c>
      <c r="G59" s="2" t="s">
        <v>33</v>
      </c>
      <c r="H59" s="2">
        <v>44464</v>
      </c>
      <c r="I59" s="2" t="s">
        <v>32</v>
      </c>
      <c r="J59" s="2">
        <v>8080</v>
      </c>
      <c r="K59" s="2" t="s">
        <v>34</v>
      </c>
      <c r="L59" s="2">
        <v>64</v>
      </c>
      <c r="M59" s="2">
        <v>352</v>
      </c>
      <c r="N59" s="2">
        <v>52</v>
      </c>
      <c r="O59" s="2">
        <v>1034034161</v>
      </c>
      <c r="P59" s="2">
        <v>3989247906</v>
      </c>
      <c r="Q59" s="2" t="s">
        <v>36</v>
      </c>
      <c r="R59" s="2">
        <v>528</v>
      </c>
      <c r="S59" s="2">
        <v>0</v>
      </c>
    </row>
    <row r="60" spans="1:19">
      <c r="A60" s="2">
        <v>59</v>
      </c>
      <c r="B60" s="4">
        <v>46268.005338870302</v>
      </c>
      <c r="C60" s="5">
        <v>1.389856</v>
      </c>
      <c r="D60" s="2">
        <v>112</v>
      </c>
      <c r="E60" s="2" t="s">
        <v>31</v>
      </c>
      <c r="F60" s="2" t="s">
        <v>30</v>
      </c>
      <c r="G60" s="2" t="s">
        <v>33</v>
      </c>
      <c r="H60" s="2">
        <v>44464</v>
      </c>
      <c r="I60" s="2" t="s">
        <v>32</v>
      </c>
      <c r="J60" s="2">
        <v>8080</v>
      </c>
      <c r="K60" s="2" t="s">
        <v>34</v>
      </c>
      <c r="L60" s="2">
        <v>64</v>
      </c>
      <c r="M60" s="2">
        <v>353</v>
      </c>
      <c r="N60" s="2">
        <v>98</v>
      </c>
      <c r="O60" s="2">
        <v>1034034161</v>
      </c>
      <c r="P60" s="2">
        <v>3989247906</v>
      </c>
      <c r="Q60" s="2" t="s">
        <v>35</v>
      </c>
      <c r="R60" s="2">
        <v>528</v>
      </c>
      <c r="S60" s="2">
        <v>46</v>
      </c>
    </row>
    <row r="61" spans="1:19">
      <c r="A61" s="2">
        <v>60</v>
      </c>
      <c r="B61" s="4">
        <v>46268.005338962023</v>
      </c>
      <c r="C61" s="5">
        <v>1.3977809999999999</v>
      </c>
      <c r="D61" s="2">
        <v>112</v>
      </c>
      <c r="E61" s="2" t="s">
        <v>31</v>
      </c>
      <c r="F61" s="2" t="s">
        <v>30</v>
      </c>
      <c r="G61" s="2" t="s">
        <v>33</v>
      </c>
      <c r="H61" s="2">
        <v>44464</v>
      </c>
      <c r="I61" s="2" t="s">
        <v>32</v>
      </c>
      <c r="J61" s="2">
        <v>8080</v>
      </c>
      <c r="K61" s="2" t="s">
        <v>34</v>
      </c>
      <c r="L61" s="2">
        <v>64</v>
      </c>
      <c r="M61" s="2">
        <v>354</v>
      </c>
      <c r="N61" s="2">
        <v>98</v>
      </c>
      <c r="O61" s="2">
        <v>1034034161</v>
      </c>
      <c r="P61" s="2">
        <v>3989247906</v>
      </c>
      <c r="Q61" s="2" t="s">
        <v>35</v>
      </c>
      <c r="R61" s="2">
        <v>528</v>
      </c>
      <c r="S61" s="2">
        <v>46</v>
      </c>
    </row>
    <row r="62" spans="1:19">
      <c r="A62" s="2">
        <v>61</v>
      </c>
      <c r="B62" s="4">
        <v>46268.005338962248</v>
      </c>
      <c r="C62" s="5">
        <v>1.3977999999999999</v>
      </c>
      <c r="D62" s="2">
        <v>78</v>
      </c>
      <c r="E62" s="2" t="s">
        <v>30</v>
      </c>
      <c r="F62" s="2" t="s">
        <v>31</v>
      </c>
      <c r="G62" s="2" t="s">
        <v>32</v>
      </c>
      <c r="H62" s="2">
        <v>8080</v>
      </c>
      <c r="I62" s="2" t="s">
        <v>33</v>
      </c>
      <c r="J62" s="2">
        <v>44464</v>
      </c>
      <c r="K62" s="2" t="s">
        <v>34</v>
      </c>
      <c r="L62" s="2">
        <v>64</v>
      </c>
      <c r="M62" s="2">
        <v>13809</v>
      </c>
      <c r="N62" s="2">
        <v>64</v>
      </c>
      <c r="O62" s="2">
        <v>3989247906</v>
      </c>
      <c r="P62" s="2">
        <v>1034034207</v>
      </c>
      <c r="Q62" s="2" t="s">
        <v>36</v>
      </c>
      <c r="R62" s="2">
        <v>639</v>
      </c>
      <c r="S62" s="2">
        <v>0</v>
      </c>
    </row>
    <row r="63" spans="1:19">
      <c r="A63" s="2">
        <v>62</v>
      </c>
      <c r="B63" s="4">
        <v>46268.005345064361</v>
      </c>
      <c r="C63" s="5">
        <v>1.9250229999999999</v>
      </c>
      <c r="D63" s="2">
        <v>303</v>
      </c>
      <c r="E63" s="2" t="s">
        <v>31</v>
      </c>
      <c r="F63" s="2" t="s">
        <v>30</v>
      </c>
      <c r="G63" s="2" t="s">
        <v>33</v>
      </c>
      <c r="H63" s="2">
        <v>44464</v>
      </c>
      <c r="I63" s="2" t="s">
        <v>32</v>
      </c>
      <c r="J63" s="2">
        <v>8080</v>
      </c>
      <c r="K63" s="2" t="s">
        <v>34</v>
      </c>
      <c r="L63" s="2">
        <v>64</v>
      </c>
      <c r="M63" s="2">
        <v>355</v>
      </c>
      <c r="N63" s="2">
        <v>289</v>
      </c>
      <c r="O63" s="2">
        <v>1034034207</v>
      </c>
      <c r="P63" s="2">
        <v>3989247906</v>
      </c>
      <c r="Q63" s="2" t="s">
        <v>35</v>
      </c>
      <c r="R63" s="2">
        <v>528</v>
      </c>
      <c r="S63" s="2">
        <v>237</v>
      </c>
    </row>
    <row r="64" spans="1:19">
      <c r="A64" s="2">
        <v>63</v>
      </c>
      <c r="B64" s="4">
        <v>46268.005345064623</v>
      </c>
      <c r="C64" s="5">
        <v>1.9250449999999999</v>
      </c>
      <c r="D64" s="2">
        <v>66</v>
      </c>
      <c r="E64" s="2" t="s">
        <v>30</v>
      </c>
      <c r="F64" s="2" t="s">
        <v>31</v>
      </c>
      <c r="G64" s="2" t="s">
        <v>32</v>
      </c>
      <c r="H64" s="2">
        <v>8080</v>
      </c>
      <c r="I64" s="2" t="s">
        <v>33</v>
      </c>
      <c r="J64" s="2">
        <v>44464</v>
      </c>
      <c r="K64" s="2" t="s">
        <v>34</v>
      </c>
      <c r="L64" s="2">
        <v>64</v>
      </c>
      <c r="M64" s="2">
        <v>13810</v>
      </c>
      <c r="N64" s="2">
        <v>52</v>
      </c>
      <c r="O64" s="2">
        <v>3989247906</v>
      </c>
      <c r="P64" s="2">
        <v>1034034444</v>
      </c>
      <c r="Q64" s="2" t="s">
        <v>36</v>
      </c>
      <c r="R64" s="2">
        <v>662</v>
      </c>
      <c r="S64" s="2">
        <v>0</v>
      </c>
    </row>
    <row r="65" spans="1:19">
      <c r="A65" s="2">
        <v>64</v>
      </c>
      <c r="B65" s="4">
        <v>46268.005345282792</v>
      </c>
      <c r="C65" s="5">
        <v>1.9438949999999999</v>
      </c>
      <c r="D65" s="2">
        <v>106</v>
      </c>
      <c r="E65" s="2" t="s">
        <v>30</v>
      </c>
      <c r="F65" s="2" t="s">
        <v>31</v>
      </c>
      <c r="G65" s="2" t="s">
        <v>32</v>
      </c>
      <c r="H65" s="2">
        <v>8080</v>
      </c>
      <c r="I65" s="2" t="s">
        <v>33</v>
      </c>
      <c r="J65" s="2">
        <v>44464</v>
      </c>
      <c r="K65" s="2" t="s">
        <v>34</v>
      </c>
      <c r="L65" s="2">
        <v>64</v>
      </c>
      <c r="M65" s="2">
        <v>13811</v>
      </c>
      <c r="N65" s="2">
        <v>92</v>
      </c>
      <c r="O65" s="2">
        <v>3989247906</v>
      </c>
      <c r="P65" s="2">
        <v>1034034444</v>
      </c>
      <c r="Q65" s="2" t="s">
        <v>35</v>
      </c>
      <c r="R65" s="2">
        <v>662</v>
      </c>
      <c r="S65" s="2">
        <v>40</v>
      </c>
    </row>
    <row r="66" spans="1:19">
      <c r="A66" s="2">
        <v>65</v>
      </c>
      <c r="B66" s="4">
        <v>46268.005345283331</v>
      </c>
      <c r="C66" s="5">
        <v>1.9439420000000001</v>
      </c>
      <c r="D66" s="2">
        <v>66</v>
      </c>
      <c r="E66" s="2" t="s">
        <v>31</v>
      </c>
      <c r="F66" s="2" t="s">
        <v>30</v>
      </c>
      <c r="G66" s="2" t="s">
        <v>33</v>
      </c>
      <c r="H66" s="2">
        <v>44464</v>
      </c>
      <c r="I66" s="2" t="s">
        <v>32</v>
      </c>
      <c r="J66" s="2">
        <v>8080</v>
      </c>
      <c r="K66" s="2" t="s">
        <v>34</v>
      </c>
      <c r="L66" s="2">
        <v>64</v>
      </c>
      <c r="M66" s="2">
        <v>356</v>
      </c>
      <c r="N66" s="2">
        <v>52</v>
      </c>
      <c r="O66" s="2">
        <v>1034034444</v>
      </c>
      <c r="P66" s="2">
        <v>3989247946</v>
      </c>
      <c r="Q66" s="2" t="s">
        <v>36</v>
      </c>
      <c r="R66" s="2">
        <v>528</v>
      </c>
      <c r="S66" s="2">
        <v>0</v>
      </c>
    </row>
    <row r="67" spans="1:19">
      <c r="A67" s="2">
        <v>66</v>
      </c>
      <c r="B67" s="4">
        <v>46268.005348567342</v>
      </c>
      <c r="C67" s="5">
        <v>2.2276799999999999</v>
      </c>
      <c r="D67" s="2">
        <v>222</v>
      </c>
      <c r="E67" s="2" t="s">
        <v>30</v>
      </c>
      <c r="F67" s="2" t="s">
        <v>31</v>
      </c>
      <c r="G67" s="2" t="s">
        <v>32</v>
      </c>
      <c r="H67" s="2">
        <v>8080</v>
      </c>
      <c r="I67" s="2" t="s">
        <v>33</v>
      </c>
      <c r="J67" s="2">
        <v>44464</v>
      </c>
      <c r="K67" s="2" t="s">
        <v>34</v>
      </c>
      <c r="L67" s="2">
        <v>64</v>
      </c>
      <c r="M67" s="2">
        <v>13812</v>
      </c>
      <c r="N67" s="2">
        <v>208</v>
      </c>
      <c r="O67" s="2">
        <v>3989247946</v>
      </c>
      <c r="P67" s="2">
        <v>1034034444</v>
      </c>
      <c r="Q67" s="2" t="s">
        <v>35</v>
      </c>
      <c r="R67" s="2">
        <v>662</v>
      </c>
      <c r="S67" s="2">
        <v>156</v>
      </c>
    </row>
    <row r="68" spans="1:19">
      <c r="A68" s="2">
        <v>67</v>
      </c>
      <c r="B68" s="4">
        <v>46268.005348568127</v>
      </c>
      <c r="C68" s="5">
        <v>2.2277480000000001</v>
      </c>
      <c r="D68" s="2">
        <v>66</v>
      </c>
      <c r="E68" s="2" t="s">
        <v>31</v>
      </c>
      <c r="F68" s="2" t="s">
        <v>30</v>
      </c>
      <c r="G68" s="2" t="s">
        <v>33</v>
      </c>
      <c r="H68" s="2">
        <v>44464</v>
      </c>
      <c r="I68" s="2" t="s">
        <v>32</v>
      </c>
      <c r="J68" s="2">
        <v>8080</v>
      </c>
      <c r="K68" s="2" t="s">
        <v>34</v>
      </c>
      <c r="L68" s="2">
        <v>64</v>
      </c>
      <c r="M68" s="2">
        <v>357</v>
      </c>
      <c r="N68" s="2">
        <v>52</v>
      </c>
      <c r="O68" s="2">
        <v>1034034444</v>
      </c>
      <c r="P68" s="2">
        <v>3989248102</v>
      </c>
      <c r="Q68" s="2" t="s">
        <v>36</v>
      </c>
      <c r="R68" s="2">
        <v>528</v>
      </c>
      <c r="S68" s="2">
        <v>0</v>
      </c>
    </row>
    <row r="69" spans="1:19">
      <c r="A69" s="2">
        <v>68</v>
      </c>
      <c r="B69" s="4">
        <v>46268.005375444271</v>
      </c>
      <c r="C69" s="5">
        <v>4.5498469999999998</v>
      </c>
      <c r="D69" s="2">
        <v>305</v>
      </c>
      <c r="E69" s="2" t="s">
        <v>31</v>
      </c>
      <c r="F69" s="2" t="s">
        <v>30</v>
      </c>
      <c r="G69" s="2" t="s">
        <v>33</v>
      </c>
      <c r="H69" s="2">
        <v>44464</v>
      </c>
      <c r="I69" s="2" t="s">
        <v>32</v>
      </c>
      <c r="J69" s="2">
        <v>8080</v>
      </c>
      <c r="K69" s="2" t="s">
        <v>34</v>
      </c>
      <c r="L69" s="2">
        <v>64</v>
      </c>
      <c r="M69" s="2">
        <v>358</v>
      </c>
      <c r="N69" s="2">
        <v>291</v>
      </c>
      <c r="O69" s="2">
        <v>1034034444</v>
      </c>
      <c r="P69" s="2">
        <v>3989248102</v>
      </c>
      <c r="Q69" s="2" t="s">
        <v>35</v>
      </c>
      <c r="R69" s="2">
        <v>528</v>
      </c>
      <c r="S69" s="2">
        <v>239</v>
      </c>
    </row>
    <row r="70" spans="1:19">
      <c r="A70" s="2">
        <v>69</v>
      </c>
      <c r="B70" s="4">
        <v>46268.005375536202</v>
      </c>
      <c r="C70" s="5">
        <v>4.5577889999999996</v>
      </c>
      <c r="D70" s="2">
        <v>305</v>
      </c>
      <c r="E70" s="2" t="s">
        <v>31</v>
      </c>
      <c r="F70" s="2" t="s">
        <v>30</v>
      </c>
      <c r="G70" s="2" t="s">
        <v>33</v>
      </c>
      <c r="H70" s="2">
        <v>44464</v>
      </c>
      <c r="I70" s="2" t="s">
        <v>32</v>
      </c>
      <c r="J70" s="2">
        <v>8080</v>
      </c>
      <c r="K70" s="2" t="s">
        <v>34</v>
      </c>
      <c r="L70" s="2">
        <v>64</v>
      </c>
      <c r="M70" s="2">
        <v>359</v>
      </c>
      <c r="N70" s="2">
        <v>291</v>
      </c>
      <c r="O70" s="2">
        <v>1034034444</v>
      </c>
      <c r="P70" s="2">
        <v>3989248102</v>
      </c>
      <c r="Q70" s="2" t="s">
        <v>35</v>
      </c>
      <c r="R70" s="2">
        <v>528</v>
      </c>
      <c r="S70" s="2">
        <v>239</v>
      </c>
    </row>
    <row r="71" spans="1:19">
      <c r="A71" s="2">
        <v>70</v>
      </c>
      <c r="B71" s="4">
        <v>46268.005375536413</v>
      </c>
      <c r="C71" s="5">
        <v>4.5578079999999996</v>
      </c>
      <c r="D71" s="2">
        <v>78</v>
      </c>
      <c r="E71" s="2" t="s">
        <v>30</v>
      </c>
      <c r="F71" s="2" t="s">
        <v>31</v>
      </c>
      <c r="G71" s="2" t="s">
        <v>32</v>
      </c>
      <c r="H71" s="2">
        <v>8080</v>
      </c>
      <c r="I71" s="2" t="s">
        <v>33</v>
      </c>
      <c r="J71" s="2">
        <v>44464</v>
      </c>
      <c r="K71" s="2" t="s">
        <v>34</v>
      </c>
      <c r="L71" s="2">
        <v>64</v>
      </c>
      <c r="M71" s="2">
        <v>13813</v>
      </c>
      <c r="N71" s="2">
        <v>64</v>
      </c>
      <c r="O71" s="2">
        <v>3989248102</v>
      </c>
      <c r="P71" s="2">
        <v>1034034683</v>
      </c>
      <c r="Q71" s="2" t="s">
        <v>36</v>
      </c>
      <c r="R71" s="2">
        <v>684</v>
      </c>
      <c r="S71" s="2">
        <v>0</v>
      </c>
    </row>
    <row r="72" spans="1:19">
      <c r="A72" s="2">
        <v>71</v>
      </c>
      <c r="B72" s="4">
        <v>46268.005375657289</v>
      </c>
      <c r="C72" s="5">
        <v>4.5682520000000002</v>
      </c>
      <c r="D72" s="2">
        <v>106</v>
      </c>
      <c r="E72" s="2" t="s">
        <v>30</v>
      </c>
      <c r="F72" s="2" t="s">
        <v>31</v>
      </c>
      <c r="G72" s="2" t="s">
        <v>32</v>
      </c>
      <c r="H72" s="2">
        <v>8080</v>
      </c>
      <c r="I72" s="2" t="s">
        <v>33</v>
      </c>
      <c r="J72" s="2">
        <v>44464</v>
      </c>
      <c r="K72" s="2" t="s">
        <v>34</v>
      </c>
      <c r="L72" s="2">
        <v>64</v>
      </c>
      <c r="M72" s="2">
        <v>13814</v>
      </c>
      <c r="N72" s="2">
        <v>92</v>
      </c>
      <c r="O72" s="2">
        <v>3989248102</v>
      </c>
      <c r="P72" s="2">
        <v>1034034683</v>
      </c>
      <c r="Q72" s="2" t="s">
        <v>35</v>
      </c>
      <c r="R72" s="2">
        <v>684</v>
      </c>
      <c r="S72" s="2">
        <v>40</v>
      </c>
    </row>
    <row r="73" spans="1:19">
      <c r="A73" s="2">
        <v>72</v>
      </c>
      <c r="B73" s="4">
        <v>46268.005375657871</v>
      </c>
      <c r="C73" s="5">
        <v>4.5683020000000001</v>
      </c>
      <c r="D73" s="2">
        <v>66</v>
      </c>
      <c r="E73" s="2" t="s">
        <v>31</v>
      </c>
      <c r="F73" s="2" t="s">
        <v>30</v>
      </c>
      <c r="G73" s="2" t="s">
        <v>33</v>
      </c>
      <c r="H73" s="2">
        <v>44464</v>
      </c>
      <c r="I73" s="2" t="s">
        <v>32</v>
      </c>
      <c r="J73" s="2">
        <v>8080</v>
      </c>
      <c r="K73" s="2" t="s">
        <v>34</v>
      </c>
      <c r="L73" s="2">
        <v>64</v>
      </c>
      <c r="M73" s="2">
        <v>360</v>
      </c>
      <c r="N73" s="2">
        <v>52</v>
      </c>
      <c r="O73" s="2">
        <v>1034034683</v>
      </c>
      <c r="P73" s="2">
        <v>3989248142</v>
      </c>
      <c r="Q73" s="2" t="s">
        <v>36</v>
      </c>
      <c r="R73" s="2">
        <v>528</v>
      </c>
      <c r="S73" s="2">
        <v>0</v>
      </c>
    </row>
    <row r="74" spans="1:19">
      <c r="A74" s="2">
        <v>73</v>
      </c>
      <c r="B74" s="4">
        <v>46268.005376648078</v>
      </c>
      <c r="C74" s="5">
        <v>4.6538560000000002</v>
      </c>
      <c r="D74" s="2">
        <v>305</v>
      </c>
      <c r="E74" s="2" t="s">
        <v>31</v>
      </c>
      <c r="F74" s="2" t="s">
        <v>30</v>
      </c>
      <c r="G74" s="2" t="s">
        <v>33</v>
      </c>
      <c r="H74" s="2">
        <v>44464</v>
      </c>
      <c r="I74" s="2" t="s">
        <v>32</v>
      </c>
      <c r="J74" s="2">
        <v>8080</v>
      </c>
      <c r="K74" s="2" t="s">
        <v>34</v>
      </c>
      <c r="L74" s="2">
        <v>64</v>
      </c>
      <c r="M74" s="2">
        <v>361</v>
      </c>
      <c r="N74" s="2">
        <v>291</v>
      </c>
      <c r="O74" s="2">
        <v>1034034683</v>
      </c>
      <c r="P74" s="2">
        <v>3989248142</v>
      </c>
      <c r="Q74" s="2" t="s">
        <v>35</v>
      </c>
      <c r="R74" s="2">
        <v>528</v>
      </c>
      <c r="S74" s="2">
        <v>239</v>
      </c>
    </row>
    <row r="75" spans="1:19">
      <c r="A75" s="2">
        <v>74</v>
      </c>
      <c r="B75" s="4">
        <v>46268.005376686713</v>
      </c>
      <c r="C75" s="5">
        <v>4.6571939999999996</v>
      </c>
      <c r="D75" s="2">
        <v>106</v>
      </c>
      <c r="E75" s="2" t="s">
        <v>30</v>
      </c>
      <c r="F75" s="2" t="s">
        <v>31</v>
      </c>
      <c r="G75" s="2" t="s">
        <v>32</v>
      </c>
      <c r="H75" s="2">
        <v>8080</v>
      </c>
      <c r="I75" s="2" t="s">
        <v>33</v>
      </c>
      <c r="J75" s="2">
        <v>44464</v>
      </c>
      <c r="K75" s="2" t="s">
        <v>34</v>
      </c>
      <c r="L75" s="2">
        <v>64</v>
      </c>
      <c r="M75" s="2">
        <v>13815</v>
      </c>
      <c r="N75" s="2">
        <v>92</v>
      </c>
      <c r="O75" s="2">
        <v>3989248142</v>
      </c>
      <c r="P75" s="2">
        <v>1034034922</v>
      </c>
      <c r="Q75" s="2" t="s">
        <v>35</v>
      </c>
      <c r="R75" s="2">
        <v>707</v>
      </c>
      <c r="S75" s="2">
        <v>40</v>
      </c>
    </row>
    <row r="76" spans="1:19">
      <c r="A76" s="2">
        <v>75</v>
      </c>
      <c r="B76" s="4">
        <v>46268.005376687339</v>
      </c>
      <c r="C76" s="5">
        <v>4.6572480000000001</v>
      </c>
      <c r="D76" s="2">
        <v>66</v>
      </c>
      <c r="E76" s="2" t="s">
        <v>31</v>
      </c>
      <c r="F76" s="2" t="s">
        <v>30</v>
      </c>
      <c r="G76" s="2" t="s">
        <v>33</v>
      </c>
      <c r="H76" s="2">
        <v>44464</v>
      </c>
      <c r="I76" s="2" t="s">
        <v>32</v>
      </c>
      <c r="J76" s="2">
        <v>8080</v>
      </c>
      <c r="K76" s="2" t="s">
        <v>34</v>
      </c>
      <c r="L76" s="2">
        <v>64</v>
      </c>
      <c r="M76" s="2">
        <v>362</v>
      </c>
      <c r="N76" s="2">
        <v>52</v>
      </c>
      <c r="O76" s="2">
        <v>1034034922</v>
      </c>
      <c r="P76" s="2">
        <v>3989248182</v>
      </c>
      <c r="Q76" s="2" t="s">
        <v>36</v>
      </c>
      <c r="R76" s="2">
        <v>528</v>
      </c>
      <c r="S76" s="2">
        <v>0</v>
      </c>
    </row>
    <row r="77" spans="1:19">
      <c r="A77" s="2">
        <v>76</v>
      </c>
      <c r="B77" s="4">
        <v>46268.005378541333</v>
      </c>
      <c r="C77" s="5">
        <v>4.8174330000000003</v>
      </c>
      <c r="D77" s="2">
        <v>305</v>
      </c>
      <c r="E77" s="2" t="s">
        <v>31</v>
      </c>
      <c r="F77" s="2" t="s">
        <v>30</v>
      </c>
      <c r="G77" s="2" t="s">
        <v>33</v>
      </c>
      <c r="H77" s="2">
        <v>44464</v>
      </c>
      <c r="I77" s="2" t="s">
        <v>32</v>
      </c>
      <c r="J77" s="2">
        <v>8080</v>
      </c>
      <c r="K77" s="2" t="s">
        <v>34</v>
      </c>
      <c r="L77" s="2">
        <v>64</v>
      </c>
      <c r="M77" s="2">
        <v>363</v>
      </c>
      <c r="N77" s="2">
        <v>291</v>
      </c>
      <c r="O77" s="2">
        <v>1034034922</v>
      </c>
      <c r="P77" s="2">
        <v>3989248182</v>
      </c>
      <c r="Q77" s="2" t="s">
        <v>35</v>
      </c>
      <c r="R77" s="2">
        <v>528</v>
      </c>
      <c r="S77" s="2">
        <v>239</v>
      </c>
    </row>
    <row r="78" spans="1:19">
      <c r="A78" s="2">
        <v>77</v>
      </c>
      <c r="B78" s="4">
        <v>46268.005378626433</v>
      </c>
      <c r="C78" s="5">
        <v>4.8247859999999996</v>
      </c>
      <c r="D78" s="2">
        <v>305</v>
      </c>
      <c r="E78" s="2" t="s">
        <v>31</v>
      </c>
      <c r="F78" s="2" t="s">
        <v>30</v>
      </c>
      <c r="G78" s="2" t="s">
        <v>33</v>
      </c>
      <c r="H78" s="2">
        <v>44464</v>
      </c>
      <c r="I78" s="2" t="s">
        <v>32</v>
      </c>
      <c r="J78" s="2">
        <v>8080</v>
      </c>
      <c r="K78" s="2" t="s">
        <v>34</v>
      </c>
      <c r="L78" s="2">
        <v>64</v>
      </c>
      <c r="M78" s="2">
        <v>364</v>
      </c>
      <c r="N78" s="2">
        <v>291</v>
      </c>
      <c r="O78" s="2">
        <v>1034034922</v>
      </c>
      <c r="P78" s="2">
        <v>3989248182</v>
      </c>
      <c r="Q78" s="2" t="s">
        <v>35</v>
      </c>
      <c r="R78" s="2">
        <v>528</v>
      </c>
      <c r="S78" s="2">
        <v>239</v>
      </c>
    </row>
    <row r="79" spans="1:19">
      <c r="A79" s="2">
        <v>78</v>
      </c>
      <c r="B79" s="4">
        <v>46268.005378626658</v>
      </c>
      <c r="C79" s="5">
        <v>4.8248049999999996</v>
      </c>
      <c r="D79" s="2">
        <v>78</v>
      </c>
      <c r="E79" s="2" t="s">
        <v>30</v>
      </c>
      <c r="F79" s="2" t="s">
        <v>31</v>
      </c>
      <c r="G79" s="2" t="s">
        <v>32</v>
      </c>
      <c r="H79" s="2">
        <v>8080</v>
      </c>
      <c r="I79" s="2" t="s">
        <v>33</v>
      </c>
      <c r="J79" s="2">
        <v>44464</v>
      </c>
      <c r="K79" s="2" t="s">
        <v>34</v>
      </c>
      <c r="L79" s="2">
        <v>64</v>
      </c>
      <c r="M79" s="2">
        <v>13816</v>
      </c>
      <c r="N79" s="2">
        <v>64</v>
      </c>
      <c r="O79" s="2">
        <v>3989248182</v>
      </c>
      <c r="P79" s="2">
        <v>1034035161</v>
      </c>
      <c r="Q79" s="2" t="s">
        <v>36</v>
      </c>
      <c r="R79" s="2">
        <v>730</v>
      </c>
      <c r="S79" s="2">
        <v>0</v>
      </c>
    </row>
    <row r="80" spans="1:19">
      <c r="A80" s="2">
        <v>79</v>
      </c>
      <c r="B80" s="4">
        <v>46268.00537873742</v>
      </c>
      <c r="C80" s="5">
        <v>4.8343749999999996</v>
      </c>
      <c r="D80" s="2">
        <v>106</v>
      </c>
      <c r="E80" s="2" t="s">
        <v>30</v>
      </c>
      <c r="F80" s="2" t="s">
        <v>31</v>
      </c>
      <c r="G80" s="2" t="s">
        <v>32</v>
      </c>
      <c r="H80" s="2">
        <v>8080</v>
      </c>
      <c r="I80" s="2" t="s">
        <v>33</v>
      </c>
      <c r="J80" s="2">
        <v>44464</v>
      </c>
      <c r="K80" s="2" t="s">
        <v>34</v>
      </c>
      <c r="L80" s="2">
        <v>64</v>
      </c>
      <c r="M80" s="2">
        <v>13817</v>
      </c>
      <c r="N80" s="2">
        <v>92</v>
      </c>
      <c r="O80" s="2">
        <v>3989248182</v>
      </c>
      <c r="P80" s="2">
        <v>1034035161</v>
      </c>
      <c r="Q80" s="2" t="s">
        <v>35</v>
      </c>
      <c r="R80" s="2">
        <v>730</v>
      </c>
      <c r="S80" s="2">
        <v>40</v>
      </c>
    </row>
    <row r="81" spans="1:19">
      <c r="A81" s="2">
        <v>80</v>
      </c>
      <c r="B81" s="4">
        <v>46268.005378737973</v>
      </c>
      <c r="C81" s="5">
        <v>4.834422</v>
      </c>
      <c r="D81" s="2">
        <v>66</v>
      </c>
      <c r="E81" s="2" t="s">
        <v>31</v>
      </c>
      <c r="F81" s="2" t="s">
        <v>30</v>
      </c>
      <c r="G81" s="2" t="s">
        <v>33</v>
      </c>
      <c r="H81" s="2">
        <v>44464</v>
      </c>
      <c r="I81" s="2" t="s">
        <v>32</v>
      </c>
      <c r="J81" s="2">
        <v>8080</v>
      </c>
      <c r="K81" s="2" t="s">
        <v>34</v>
      </c>
      <c r="L81" s="2">
        <v>64</v>
      </c>
      <c r="M81" s="2">
        <v>365</v>
      </c>
      <c r="N81" s="2">
        <v>52</v>
      </c>
      <c r="O81" s="2">
        <v>1034035161</v>
      </c>
      <c r="P81" s="2">
        <v>3989248222</v>
      </c>
      <c r="Q81" s="2" t="s">
        <v>36</v>
      </c>
      <c r="R81" s="2">
        <v>528</v>
      </c>
      <c r="S81" s="2">
        <v>0</v>
      </c>
    </row>
    <row r="82" spans="1:19">
      <c r="A82" s="2">
        <v>81</v>
      </c>
      <c r="B82" s="4">
        <v>46268.005388154721</v>
      </c>
      <c r="C82" s="5">
        <v>5.6480300000000003</v>
      </c>
      <c r="D82" s="2">
        <v>305</v>
      </c>
      <c r="E82" s="2" t="s">
        <v>31</v>
      </c>
      <c r="F82" s="2" t="s">
        <v>30</v>
      </c>
      <c r="G82" s="2" t="s">
        <v>33</v>
      </c>
      <c r="H82" s="2">
        <v>44464</v>
      </c>
      <c r="I82" s="2" t="s">
        <v>32</v>
      </c>
      <c r="J82" s="2">
        <v>8080</v>
      </c>
      <c r="K82" s="2" t="s">
        <v>34</v>
      </c>
      <c r="L82" s="2">
        <v>64</v>
      </c>
      <c r="M82" s="2">
        <v>366</v>
      </c>
      <c r="N82" s="2">
        <v>291</v>
      </c>
      <c r="O82" s="2">
        <v>1034035161</v>
      </c>
      <c r="P82" s="2">
        <v>3989248222</v>
      </c>
      <c r="Q82" s="2" t="s">
        <v>35</v>
      </c>
      <c r="R82" s="2">
        <v>528</v>
      </c>
      <c r="S82" s="2">
        <v>239</v>
      </c>
    </row>
    <row r="83" spans="1:19">
      <c r="A83" s="2">
        <v>82</v>
      </c>
      <c r="B83" s="4">
        <v>46268.005388203783</v>
      </c>
      <c r="C83" s="5">
        <v>5.6522680000000003</v>
      </c>
      <c r="D83" s="2">
        <v>106</v>
      </c>
      <c r="E83" s="2" t="s">
        <v>30</v>
      </c>
      <c r="F83" s="2" t="s">
        <v>31</v>
      </c>
      <c r="G83" s="2" t="s">
        <v>32</v>
      </c>
      <c r="H83" s="2">
        <v>8080</v>
      </c>
      <c r="I83" s="2" t="s">
        <v>33</v>
      </c>
      <c r="J83" s="2">
        <v>44464</v>
      </c>
      <c r="K83" s="2" t="s">
        <v>34</v>
      </c>
      <c r="L83" s="2">
        <v>64</v>
      </c>
      <c r="M83" s="2">
        <v>13818</v>
      </c>
      <c r="N83" s="2">
        <v>92</v>
      </c>
      <c r="O83" s="2">
        <v>3989248222</v>
      </c>
      <c r="P83" s="2">
        <v>1034035400</v>
      </c>
      <c r="Q83" s="2" t="s">
        <v>35</v>
      </c>
      <c r="R83" s="2">
        <v>738</v>
      </c>
      <c r="S83" s="2">
        <v>40</v>
      </c>
    </row>
    <row r="84" spans="1:19">
      <c r="A84" s="2">
        <v>83</v>
      </c>
      <c r="B84" s="4">
        <v>46268.005388204132</v>
      </c>
      <c r="C84" s="5">
        <v>5.6522990000000002</v>
      </c>
      <c r="D84" s="2">
        <v>66</v>
      </c>
      <c r="E84" s="2" t="s">
        <v>31</v>
      </c>
      <c r="F84" s="2" t="s">
        <v>30</v>
      </c>
      <c r="G84" s="2" t="s">
        <v>33</v>
      </c>
      <c r="H84" s="2">
        <v>44464</v>
      </c>
      <c r="I84" s="2" t="s">
        <v>32</v>
      </c>
      <c r="J84" s="2">
        <v>8080</v>
      </c>
      <c r="K84" s="2" t="s">
        <v>34</v>
      </c>
      <c r="L84" s="2">
        <v>64</v>
      </c>
      <c r="M84" s="2">
        <v>367</v>
      </c>
      <c r="N84" s="2">
        <v>52</v>
      </c>
      <c r="O84" s="2">
        <v>1034035400</v>
      </c>
      <c r="P84" s="2">
        <v>3989248262</v>
      </c>
      <c r="Q84" s="2" t="s">
        <v>36</v>
      </c>
      <c r="R84" s="2">
        <v>528</v>
      </c>
      <c r="S84" s="2">
        <v>0</v>
      </c>
    </row>
    <row r="85" spans="1:19">
      <c r="A85" s="2">
        <v>84</v>
      </c>
      <c r="B85" s="4">
        <v>46268.005395530381</v>
      </c>
      <c r="C85" s="5">
        <v>6.2852870000000003</v>
      </c>
      <c r="D85" s="2">
        <v>74</v>
      </c>
      <c r="E85" s="2" t="s">
        <v>31</v>
      </c>
      <c r="F85" s="2" t="s">
        <v>30</v>
      </c>
      <c r="G85" s="2" t="s">
        <v>33</v>
      </c>
      <c r="H85" s="2">
        <v>42418</v>
      </c>
      <c r="I85" s="2" t="s">
        <v>32</v>
      </c>
      <c r="J85" s="2">
        <v>8080</v>
      </c>
      <c r="K85" s="2" t="s">
        <v>34</v>
      </c>
      <c r="L85" s="2">
        <v>64</v>
      </c>
      <c r="M85" s="2">
        <v>49872</v>
      </c>
      <c r="N85" s="2">
        <v>60</v>
      </c>
      <c r="O85" s="2">
        <v>3811108165</v>
      </c>
      <c r="P85" s="2">
        <v>0</v>
      </c>
      <c r="Q85" s="2" t="s">
        <v>38</v>
      </c>
      <c r="R85" s="2">
        <v>64240</v>
      </c>
      <c r="S85" s="2">
        <v>0</v>
      </c>
    </row>
    <row r="86" spans="1:19">
      <c r="A86" s="2">
        <v>85</v>
      </c>
      <c r="B86" s="4">
        <v>46268.005395530628</v>
      </c>
      <c r="C86" s="5">
        <v>6.2853079999999997</v>
      </c>
      <c r="D86" s="2">
        <v>74</v>
      </c>
      <c r="E86" s="2" t="s">
        <v>30</v>
      </c>
      <c r="F86" s="2" t="s">
        <v>31</v>
      </c>
      <c r="G86" s="2" t="s">
        <v>32</v>
      </c>
      <c r="H86" s="2">
        <v>8080</v>
      </c>
      <c r="I86" s="2" t="s">
        <v>33</v>
      </c>
      <c r="J86" s="2">
        <v>42418</v>
      </c>
      <c r="K86" s="2" t="s">
        <v>34</v>
      </c>
      <c r="L86" s="2">
        <v>64</v>
      </c>
      <c r="M86" s="2">
        <v>0</v>
      </c>
      <c r="N86" s="2">
        <v>60</v>
      </c>
      <c r="O86" s="2">
        <v>2483930196</v>
      </c>
      <c r="P86" s="2">
        <v>3811108166</v>
      </c>
      <c r="Q86" s="2" t="s">
        <v>39</v>
      </c>
      <c r="R86" s="2">
        <v>65160</v>
      </c>
      <c r="S86" s="2">
        <v>0</v>
      </c>
    </row>
    <row r="87" spans="1:19">
      <c r="A87" s="2">
        <v>86</v>
      </c>
      <c r="B87" s="4">
        <v>46268.005395530883</v>
      </c>
      <c r="C87" s="5">
        <v>6.2853300000000001</v>
      </c>
      <c r="D87" s="2">
        <v>66</v>
      </c>
      <c r="E87" s="2" t="s">
        <v>31</v>
      </c>
      <c r="F87" s="2" t="s">
        <v>30</v>
      </c>
      <c r="G87" s="2" t="s">
        <v>33</v>
      </c>
      <c r="H87" s="2">
        <v>42418</v>
      </c>
      <c r="I87" s="2" t="s">
        <v>32</v>
      </c>
      <c r="J87" s="2">
        <v>8080</v>
      </c>
      <c r="K87" s="2" t="s">
        <v>34</v>
      </c>
      <c r="L87" s="2">
        <v>64</v>
      </c>
      <c r="M87" s="2">
        <v>49873</v>
      </c>
      <c r="N87" s="2">
        <v>52</v>
      </c>
      <c r="O87" s="2">
        <v>3811108166</v>
      </c>
      <c r="P87" s="2">
        <v>2483930197</v>
      </c>
      <c r="Q87" s="2" t="s">
        <v>36</v>
      </c>
      <c r="R87" s="2">
        <v>502</v>
      </c>
      <c r="S87" s="2">
        <v>0</v>
      </c>
    </row>
    <row r="88" spans="1:19">
      <c r="A88" s="2">
        <v>87</v>
      </c>
      <c r="B88" s="4">
        <v>46268.005395533059</v>
      </c>
      <c r="C88" s="5">
        <v>6.2855179999999997</v>
      </c>
      <c r="D88" s="2">
        <v>891</v>
      </c>
      <c r="E88" s="2" t="s">
        <v>31</v>
      </c>
      <c r="F88" s="2" t="s">
        <v>30</v>
      </c>
      <c r="G88" s="2" t="s">
        <v>33</v>
      </c>
      <c r="H88" s="2">
        <v>42418</v>
      </c>
      <c r="I88" s="2" t="s">
        <v>32</v>
      </c>
      <c r="J88" s="2">
        <v>8080</v>
      </c>
      <c r="K88" s="2" t="s">
        <v>34</v>
      </c>
      <c r="L88" s="2">
        <v>64</v>
      </c>
      <c r="M88" s="2">
        <v>49874</v>
      </c>
      <c r="N88" s="2">
        <v>877</v>
      </c>
      <c r="O88" s="2">
        <v>3811108166</v>
      </c>
      <c r="P88" s="2">
        <v>2483930197</v>
      </c>
      <c r="Q88" s="2" t="s">
        <v>35</v>
      </c>
      <c r="R88" s="2">
        <v>502</v>
      </c>
      <c r="S88" s="2">
        <v>825</v>
      </c>
    </row>
    <row r="89" spans="1:19">
      <c r="A89" s="2">
        <v>88</v>
      </c>
      <c r="B89" s="4">
        <v>46268.005395533139</v>
      </c>
      <c r="C89" s="5">
        <v>6.2855249999999998</v>
      </c>
      <c r="D89" s="2">
        <v>66</v>
      </c>
      <c r="E89" s="2" t="s">
        <v>30</v>
      </c>
      <c r="F89" s="2" t="s">
        <v>31</v>
      </c>
      <c r="G89" s="2" t="s">
        <v>32</v>
      </c>
      <c r="H89" s="2">
        <v>8080</v>
      </c>
      <c r="I89" s="2" t="s">
        <v>33</v>
      </c>
      <c r="J89" s="2">
        <v>42418</v>
      </c>
      <c r="K89" s="2" t="s">
        <v>34</v>
      </c>
      <c r="L89" s="2">
        <v>64</v>
      </c>
      <c r="M89" s="2">
        <v>5597</v>
      </c>
      <c r="N89" s="2">
        <v>52</v>
      </c>
      <c r="O89" s="2">
        <v>2483930197</v>
      </c>
      <c r="P89" s="2">
        <v>3811108991</v>
      </c>
      <c r="Q89" s="2" t="s">
        <v>36</v>
      </c>
      <c r="R89" s="2">
        <v>503</v>
      </c>
      <c r="S89" s="2">
        <v>0</v>
      </c>
    </row>
    <row r="90" spans="1:19">
      <c r="A90" s="2">
        <v>89</v>
      </c>
      <c r="B90" s="4">
        <v>46268.005395788306</v>
      </c>
      <c r="C90" s="5">
        <v>6.3075720000000004</v>
      </c>
      <c r="D90" s="2">
        <v>627</v>
      </c>
      <c r="E90" s="2" t="s">
        <v>30</v>
      </c>
      <c r="F90" s="2" t="s">
        <v>31</v>
      </c>
      <c r="G90" s="2" t="s">
        <v>32</v>
      </c>
      <c r="H90" s="2">
        <v>8080</v>
      </c>
      <c r="I90" s="2" t="s">
        <v>33</v>
      </c>
      <c r="J90" s="2">
        <v>42418</v>
      </c>
      <c r="K90" s="2" t="s">
        <v>34</v>
      </c>
      <c r="L90" s="2">
        <v>64</v>
      </c>
      <c r="M90" s="2">
        <v>5598</v>
      </c>
      <c r="N90" s="2">
        <v>613</v>
      </c>
      <c r="O90" s="2">
        <v>2483930197</v>
      </c>
      <c r="P90" s="2">
        <v>3811108991</v>
      </c>
      <c r="Q90" s="2" t="s">
        <v>35</v>
      </c>
      <c r="R90" s="2">
        <v>503</v>
      </c>
      <c r="S90" s="2">
        <v>561</v>
      </c>
    </row>
    <row r="91" spans="1:19">
      <c r="A91" s="2">
        <v>90</v>
      </c>
      <c r="B91" s="4">
        <v>46268.005395788889</v>
      </c>
      <c r="C91" s="5">
        <v>6.3076220000000003</v>
      </c>
      <c r="D91" s="2">
        <v>66</v>
      </c>
      <c r="E91" s="2" t="s">
        <v>31</v>
      </c>
      <c r="F91" s="2" t="s">
        <v>30</v>
      </c>
      <c r="G91" s="2" t="s">
        <v>33</v>
      </c>
      <c r="H91" s="2">
        <v>42418</v>
      </c>
      <c r="I91" s="2" t="s">
        <v>32</v>
      </c>
      <c r="J91" s="2">
        <v>8080</v>
      </c>
      <c r="K91" s="2" t="s">
        <v>34</v>
      </c>
      <c r="L91" s="2">
        <v>64</v>
      </c>
      <c r="M91" s="2">
        <v>49875</v>
      </c>
      <c r="N91" s="2">
        <v>52</v>
      </c>
      <c r="O91" s="2">
        <v>3811108991</v>
      </c>
      <c r="P91" s="2">
        <v>2483930758</v>
      </c>
      <c r="Q91" s="2" t="s">
        <v>36</v>
      </c>
      <c r="R91" s="2">
        <v>498</v>
      </c>
      <c r="S91" s="2">
        <v>0</v>
      </c>
    </row>
    <row r="92" spans="1:19">
      <c r="A92" s="2">
        <v>91</v>
      </c>
      <c r="B92" s="4">
        <v>46268.00539580419</v>
      </c>
      <c r="C92" s="5">
        <v>6.3089440000000003</v>
      </c>
      <c r="D92" s="2">
        <v>66</v>
      </c>
      <c r="E92" s="2" t="s">
        <v>31</v>
      </c>
      <c r="F92" s="2" t="s">
        <v>30</v>
      </c>
      <c r="G92" s="2" t="s">
        <v>33</v>
      </c>
      <c r="H92" s="2">
        <v>42418</v>
      </c>
      <c r="I92" s="2" t="s">
        <v>32</v>
      </c>
      <c r="J92" s="2">
        <v>8080</v>
      </c>
      <c r="K92" s="2" t="s">
        <v>34</v>
      </c>
      <c r="L92" s="2">
        <v>64</v>
      </c>
      <c r="M92" s="2">
        <v>49876</v>
      </c>
      <c r="N92" s="2">
        <v>52</v>
      </c>
      <c r="O92" s="2">
        <v>3811108991</v>
      </c>
      <c r="P92" s="2">
        <v>2483930758</v>
      </c>
      <c r="Q92" s="2" t="s">
        <v>37</v>
      </c>
      <c r="R92" s="2">
        <v>498</v>
      </c>
      <c r="S92" s="2">
        <v>0</v>
      </c>
    </row>
    <row r="93" spans="1:19">
      <c r="A93" s="2">
        <v>92</v>
      </c>
      <c r="B93" s="4">
        <v>46268.005395830747</v>
      </c>
      <c r="C93" s="5">
        <v>6.3112389999999996</v>
      </c>
      <c r="D93" s="2">
        <v>66</v>
      </c>
      <c r="E93" s="2" t="s">
        <v>30</v>
      </c>
      <c r="F93" s="2" t="s">
        <v>31</v>
      </c>
      <c r="G93" s="2" t="s">
        <v>32</v>
      </c>
      <c r="H93" s="2">
        <v>8080</v>
      </c>
      <c r="I93" s="2" t="s">
        <v>33</v>
      </c>
      <c r="J93" s="2">
        <v>42418</v>
      </c>
      <c r="K93" s="2" t="s">
        <v>34</v>
      </c>
      <c r="L93" s="2">
        <v>64</v>
      </c>
      <c r="M93" s="2">
        <v>5599</v>
      </c>
      <c r="N93" s="2">
        <v>52</v>
      </c>
      <c r="O93" s="2">
        <v>2483930758</v>
      </c>
      <c r="P93" s="2">
        <v>3811108992</v>
      </c>
      <c r="Q93" s="2" t="s">
        <v>37</v>
      </c>
      <c r="R93" s="2">
        <v>503</v>
      </c>
      <c r="S93" s="2">
        <v>0</v>
      </c>
    </row>
    <row r="94" spans="1:19">
      <c r="A94" s="2">
        <v>93</v>
      </c>
      <c r="B94" s="4">
        <v>46268.005395831089</v>
      </c>
      <c r="C94" s="5">
        <v>6.3112680000000001</v>
      </c>
      <c r="D94" s="2">
        <v>66</v>
      </c>
      <c r="E94" s="2" t="s">
        <v>31</v>
      </c>
      <c r="F94" s="2" t="s">
        <v>30</v>
      </c>
      <c r="G94" s="2" t="s">
        <v>33</v>
      </c>
      <c r="H94" s="2">
        <v>42418</v>
      </c>
      <c r="I94" s="2" t="s">
        <v>32</v>
      </c>
      <c r="J94" s="2">
        <v>8080</v>
      </c>
      <c r="K94" s="2" t="s">
        <v>34</v>
      </c>
      <c r="L94" s="2">
        <v>64</v>
      </c>
      <c r="M94" s="2">
        <v>49877</v>
      </c>
      <c r="N94" s="2">
        <v>52</v>
      </c>
      <c r="O94" s="2">
        <v>3811108992</v>
      </c>
      <c r="P94" s="2">
        <v>2483930759</v>
      </c>
      <c r="Q94" s="2" t="s">
        <v>36</v>
      </c>
      <c r="R94" s="2">
        <v>498</v>
      </c>
      <c r="S94" s="2">
        <v>0</v>
      </c>
    </row>
    <row r="95" spans="1:19">
      <c r="A95" s="2">
        <v>94</v>
      </c>
      <c r="B95" s="4">
        <v>46268.005404028961</v>
      </c>
      <c r="C95" s="5">
        <v>7.0195639999999999</v>
      </c>
      <c r="D95" s="2">
        <v>70</v>
      </c>
      <c r="E95" s="2" t="s">
        <v>30</v>
      </c>
      <c r="F95" s="2" t="s">
        <v>31</v>
      </c>
      <c r="G95" s="2" t="s">
        <v>32</v>
      </c>
      <c r="H95" s="2">
        <v>8080</v>
      </c>
      <c r="I95" s="2" t="s">
        <v>33</v>
      </c>
      <c r="J95" s="2">
        <v>44464</v>
      </c>
      <c r="K95" s="2" t="s">
        <v>34</v>
      </c>
      <c r="L95" s="2">
        <v>64</v>
      </c>
      <c r="M95" s="2">
        <v>13819</v>
      </c>
      <c r="N95" s="2">
        <v>56</v>
      </c>
      <c r="O95" s="2">
        <v>3989248262</v>
      </c>
      <c r="P95" s="2">
        <v>1034035400</v>
      </c>
      <c r="Q95" s="2" t="s">
        <v>35</v>
      </c>
      <c r="R95" s="2">
        <v>738</v>
      </c>
      <c r="S95" s="2">
        <v>4</v>
      </c>
    </row>
    <row r="96" spans="1:19">
      <c r="A96" s="2">
        <v>95</v>
      </c>
      <c r="B96" s="4">
        <v>46268.005404029544</v>
      </c>
      <c r="C96" s="5">
        <v>7.0196139999999998</v>
      </c>
      <c r="D96" s="2">
        <v>66</v>
      </c>
      <c r="E96" s="2" t="s">
        <v>31</v>
      </c>
      <c r="F96" s="2" t="s">
        <v>30</v>
      </c>
      <c r="G96" s="2" t="s">
        <v>33</v>
      </c>
      <c r="H96" s="2">
        <v>44464</v>
      </c>
      <c r="I96" s="2" t="s">
        <v>32</v>
      </c>
      <c r="J96" s="2">
        <v>8080</v>
      </c>
      <c r="K96" s="2" t="s">
        <v>34</v>
      </c>
      <c r="L96" s="2">
        <v>64</v>
      </c>
      <c r="M96" s="2">
        <v>368</v>
      </c>
      <c r="N96" s="2">
        <v>52</v>
      </c>
      <c r="O96" s="2">
        <v>1034035400</v>
      </c>
      <c r="P96" s="2">
        <v>3989248266</v>
      </c>
      <c r="Q96" s="2" t="s">
        <v>36</v>
      </c>
      <c r="R96" s="2">
        <v>528</v>
      </c>
      <c r="S96" s="2">
        <v>0</v>
      </c>
    </row>
    <row r="97" spans="1:19">
      <c r="A97" s="2">
        <v>96</v>
      </c>
      <c r="B97" s="4">
        <v>46268.005404031828</v>
      </c>
      <c r="C97" s="5">
        <v>7.0198119999999999</v>
      </c>
      <c r="D97" s="2">
        <v>1302</v>
      </c>
      <c r="E97" s="2" t="s">
        <v>30</v>
      </c>
      <c r="F97" s="2" t="s">
        <v>31</v>
      </c>
      <c r="G97" s="2" t="s">
        <v>32</v>
      </c>
      <c r="H97" s="2">
        <v>8080</v>
      </c>
      <c r="I97" s="2" t="s">
        <v>33</v>
      </c>
      <c r="J97" s="2">
        <v>44464</v>
      </c>
      <c r="K97" s="2" t="s">
        <v>34</v>
      </c>
      <c r="L97" s="2">
        <v>64</v>
      </c>
      <c r="M97" s="2">
        <v>13820</v>
      </c>
      <c r="N97" s="2">
        <v>1288</v>
      </c>
      <c r="O97" s="2">
        <v>3989248266</v>
      </c>
      <c r="P97" s="2">
        <v>1034035400</v>
      </c>
      <c r="Q97" s="2" t="s">
        <v>35</v>
      </c>
      <c r="R97" s="2">
        <v>738</v>
      </c>
      <c r="S97" s="2">
        <v>1236</v>
      </c>
    </row>
    <row r="98" spans="1:19">
      <c r="A98" s="2">
        <v>97</v>
      </c>
      <c r="B98" s="4">
        <v>46268.005404032097</v>
      </c>
      <c r="C98" s="5">
        <v>7.0198349999999996</v>
      </c>
      <c r="D98" s="2">
        <v>66</v>
      </c>
      <c r="E98" s="2" t="s">
        <v>31</v>
      </c>
      <c r="F98" s="2" t="s">
        <v>30</v>
      </c>
      <c r="G98" s="2" t="s">
        <v>33</v>
      </c>
      <c r="H98" s="2">
        <v>44464</v>
      </c>
      <c r="I98" s="2" t="s">
        <v>32</v>
      </c>
      <c r="J98" s="2">
        <v>8080</v>
      </c>
      <c r="K98" s="2" t="s">
        <v>34</v>
      </c>
      <c r="L98" s="2">
        <v>64</v>
      </c>
      <c r="M98" s="2">
        <v>369</v>
      </c>
      <c r="N98" s="2">
        <v>52</v>
      </c>
      <c r="O98" s="2">
        <v>1034035400</v>
      </c>
      <c r="P98" s="2">
        <v>3989249502</v>
      </c>
      <c r="Q98" s="2" t="s">
        <v>36</v>
      </c>
      <c r="R98" s="2">
        <v>551</v>
      </c>
      <c r="S98" s="2">
        <v>0</v>
      </c>
    </row>
    <row r="99" spans="1:19">
      <c r="A99" s="2">
        <v>98</v>
      </c>
      <c r="B99" s="4">
        <v>46268.005497828337</v>
      </c>
      <c r="C99" s="5">
        <v>15.123830999999999</v>
      </c>
      <c r="D99" s="2">
        <v>66</v>
      </c>
      <c r="E99" s="2" t="s">
        <v>31</v>
      </c>
      <c r="F99" s="2" t="s">
        <v>30</v>
      </c>
      <c r="G99" s="2" t="s">
        <v>33</v>
      </c>
      <c r="H99" s="2">
        <v>50558</v>
      </c>
      <c r="I99" s="2" t="s">
        <v>32</v>
      </c>
      <c r="J99" s="2">
        <v>6000</v>
      </c>
      <c r="K99" s="2" t="s">
        <v>34</v>
      </c>
      <c r="L99" s="2">
        <v>64</v>
      </c>
      <c r="M99" s="2">
        <v>46743</v>
      </c>
      <c r="N99" s="2">
        <v>52</v>
      </c>
      <c r="O99" s="2">
        <v>57236253</v>
      </c>
      <c r="P99" s="2">
        <v>2537496205</v>
      </c>
      <c r="Q99" s="2" t="s">
        <v>36</v>
      </c>
      <c r="R99" s="2">
        <v>589</v>
      </c>
      <c r="S99" s="2">
        <v>0</v>
      </c>
    </row>
    <row r="100" spans="1:19">
      <c r="A100" s="2">
        <v>99</v>
      </c>
      <c r="B100" s="4">
        <v>46268.005497828533</v>
      </c>
      <c r="C100" s="5">
        <v>15.123847</v>
      </c>
      <c r="D100" s="2">
        <v>66</v>
      </c>
      <c r="E100" s="2" t="s">
        <v>30</v>
      </c>
      <c r="F100" s="2" t="s">
        <v>31</v>
      </c>
      <c r="G100" s="2" t="s">
        <v>32</v>
      </c>
      <c r="H100" s="2">
        <v>6000</v>
      </c>
      <c r="I100" s="2" t="s">
        <v>33</v>
      </c>
      <c r="J100" s="2">
        <v>50558</v>
      </c>
      <c r="K100" s="2" t="s">
        <v>34</v>
      </c>
      <c r="L100" s="2">
        <v>64</v>
      </c>
      <c r="M100" s="2">
        <v>48361</v>
      </c>
      <c r="N100" s="2">
        <v>52</v>
      </c>
      <c r="O100" s="2">
        <v>2537496205</v>
      </c>
      <c r="P100" s="2">
        <v>57236254</v>
      </c>
      <c r="Q100" s="2" t="s">
        <v>36</v>
      </c>
      <c r="R100" s="2">
        <v>509</v>
      </c>
      <c r="S100" s="2">
        <v>0</v>
      </c>
    </row>
    <row r="101" spans="1:19">
      <c r="A101" s="2">
        <v>100</v>
      </c>
      <c r="B101" s="4">
        <v>46268.005503753513</v>
      </c>
      <c r="C101" s="5">
        <v>15.635764999999999</v>
      </c>
      <c r="D101" s="2">
        <v>66</v>
      </c>
      <c r="E101" s="2" t="s">
        <v>30</v>
      </c>
      <c r="F101" s="2" t="s">
        <v>31</v>
      </c>
      <c r="G101" s="2" t="s">
        <v>32</v>
      </c>
      <c r="H101" s="2">
        <v>6000</v>
      </c>
      <c r="I101" s="2" t="s">
        <v>33</v>
      </c>
      <c r="J101" s="2">
        <v>50558</v>
      </c>
      <c r="K101" s="2" t="s">
        <v>34</v>
      </c>
      <c r="L101" s="2">
        <v>64</v>
      </c>
      <c r="M101" s="2">
        <v>48362</v>
      </c>
      <c r="N101" s="2">
        <v>52</v>
      </c>
      <c r="O101" s="2">
        <v>2537496204</v>
      </c>
      <c r="P101" s="2">
        <v>57236254</v>
      </c>
      <c r="Q101" s="2" t="s">
        <v>36</v>
      </c>
      <c r="R101" s="2">
        <v>509</v>
      </c>
      <c r="S101" s="2">
        <v>0</v>
      </c>
    </row>
    <row r="102" spans="1:19">
      <c r="A102" s="2">
        <v>101</v>
      </c>
      <c r="B102" s="4">
        <v>46268.005503753942</v>
      </c>
      <c r="C102" s="5">
        <v>15.635802</v>
      </c>
      <c r="D102" s="2">
        <v>66</v>
      </c>
      <c r="E102" s="2" t="s">
        <v>31</v>
      </c>
      <c r="F102" s="2" t="s">
        <v>30</v>
      </c>
      <c r="G102" s="2" t="s">
        <v>33</v>
      </c>
      <c r="H102" s="2">
        <v>50558</v>
      </c>
      <c r="I102" s="2" t="s">
        <v>32</v>
      </c>
      <c r="J102" s="2">
        <v>6000</v>
      </c>
      <c r="K102" s="2" t="s">
        <v>34</v>
      </c>
      <c r="L102" s="2">
        <v>64</v>
      </c>
      <c r="M102" s="2">
        <v>46744</v>
      </c>
      <c r="N102" s="2">
        <v>52</v>
      </c>
      <c r="O102" s="2">
        <v>57236254</v>
      </c>
      <c r="P102" s="2">
        <v>2537496205</v>
      </c>
      <c r="Q102" s="2" t="s">
        <v>36</v>
      </c>
      <c r="R102" s="2">
        <v>589</v>
      </c>
      <c r="S102" s="2">
        <v>0</v>
      </c>
    </row>
    <row r="103" spans="1:19">
      <c r="A103" s="2">
        <v>102</v>
      </c>
      <c r="B103" s="4">
        <v>46268.005514167839</v>
      </c>
      <c r="C103" s="5">
        <v>16.535563</v>
      </c>
      <c r="D103" s="2">
        <v>74</v>
      </c>
      <c r="E103" s="2" t="s">
        <v>31</v>
      </c>
      <c r="F103" s="2" t="s">
        <v>30</v>
      </c>
      <c r="G103" s="2" t="s">
        <v>33</v>
      </c>
      <c r="H103" s="2">
        <v>55976</v>
      </c>
      <c r="I103" s="2" t="s">
        <v>32</v>
      </c>
      <c r="J103" s="2">
        <v>8080</v>
      </c>
      <c r="K103" s="2" t="s">
        <v>34</v>
      </c>
      <c r="L103" s="2">
        <v>64</v>
      </c>
      <c r="M103" s="2">
        <v>41124</v>
      </c>
      <c r="N103" s="2">
        <v>60</v>
      </c>
      <c r="O103" s="2">
        <v>1278618884</v>
      </c>
      <c r="P103" s="2">
        <v>0</v>
      </c>
      <c r="Q103" s="2" t="s">
        <v>38</v>
      </c>
      <c r="R103" s="2">
        <v>64240</v>
      </c>
      <c r="S103" s="2">
        <v>0</v>
      </c>
    </row>
    <row r="104" spans="1:19">
      <c r="A104" s="2">
        <v>103</v>
      </c>
      <c r="B104" s="4">
        <v>46268.005514168093</v>
      </c>
      <c r="C104" s="5">
        <v>16.535585000000001</v>
      </c>
      <c r="D104" s="2">
        <v>74</v>
      </c>
      <c r="E104" s="2" t="s">
        <v>30</v>
      </c>
      <c r="F104" s="2" t="s">
        <v>31</v>
      </c>
      <c r="G104" s="2" t="s">
        <v>32</v>
      </c>
      <c r="H104" s="2">
        <v>8080</v>
      </c>
      <c r="I104" s="2" t="s">
        <v>33</v>
      </c>
      <c r="J104" s="2">
        <v>55976</v>
      </c>
      <c r="K104" s="2" t="s">
        <v>34</v>
      </c>
      <c r="L104" s="2">
        <v>64</v>
      </c>
      <c r="M104" s="2">
        <v>0</v>
      </c>
      <c r="N104" s="2">
        <v>60</v>
      </c>
      <c r="O104" s="2">
        <v>2671118026</v>
      </c>
      <c r="P104" s="2">
        <v>1278618885</v>
      </c>
      <c r="Q104" s="2" t="s">
        <v>39</v>
      </c>
      <c r="R104" s="2">
        <v>65160</v>
      </c>
      <c r="S104" s="2">
        <v>0</v>
      </c>
    </row>
    <row r="105" spans="1:19">
      <c r="A105" s="2">
        <v>104</v>
      </c>
      <c r="B105" s="4">
        <v>46268.005514168311</v>
      </c>
      <c r="C105" s="5">
        <v>16.535603999999999</v>
      </c>
      <c r="D105" s="2">
        <v>66</v>
      </c>
      <c r="E105" s="2" t="s">
        <v>31</v>
      </c>
      <c r="F105" s="2" t="s">
        <v>30</v>
      </c>
      <c r="G105" s="2" t="s">
        <v>33</v>
      </c>
      <c r="H105" s="2">
        <v>55976</v>
      </c>
      <c r="I105" s="2" t="s">
        <v>32</v>
      </c>
      <c r="J105" s="2">
        <v>8080</v>
      </c>
      <c r="K105" s="2" t="s">
        <v>34</v>
      </c>
      <c r="L105" s="2">
        <v>64</v>
      </c>
      <c r="M105" s="2">
        <v>41125</v>
      </c>
      <c r="N105" s="2">
        <v>52</v>
      </c>
      <c r="O105" s="2">
        <v>1278618885</v>
      </c>
      <c r="P105" s="2">
        <v>2671118027</v>
      </c>
      <c r="Q105" s="2" t="s">
        <v>36</v>
      </c>
      <c r="R105" s="2">
        <v>502</v>
      </c>
      <c r="S105" s="2">
        <v>0</v>
      </c>
    </row>
    <row r="106" spans="1:19">
      <c r="A106" s="2">
        <v>105</v>
      </c>
      <c r="B106" s="4">
        <v>46268.005514172597</v>
      </c>
      <c r="C106" s="5">
        <v>16.535975000000001</v>
      </c>
      <c r="D106" s="2">
        <v>891</v>
      </c>
      <c r="E106" s="2" t="s">
        <v>31</v>
      </c>
      <c r="F106" s="2" t="s">
        <v>30</v>
      </c>
      <c r="G106" s="2" t="s">
        <v>33</v>
      </c>
      <c r="H106" s="2">
        <v>55976</v>
      </c>
      <c r="I106" s="2" t="s">
        <v>32</v>
      </c>
      <c r="J106" s="2">
        <v>8080</v>
      </c>
      <c r="K106" s="2" t="s">
        <v>34</v>
      </c>
      <c r="L106" s="2">
        <v>64</v>
      </c>
      <c r="M106" s="2">
        <v>41126</v>
      </c>
      <c r="N106" s="2">
        <v>877</v>
      </c>
      <c r="O106" s="2">
        <v>1278618885</v>
      </c>
      <c r="P106" s="2">
        <v>2671118027</v>
      </c>
      <c r="Q106" s="2" t="s">
        <v>35</v>
      </c>
      <c r="R106" s="2">
        <v>502</v>
      </c>
      <c r="S106" s="2">
        <v>825</v>
      </c>
    </row>
    <row r="107" spans="1:19">
      <c r="A107" s="2">
        <v>106</v>
      </c>
      <c r="B107" s="4">
        <v>46268.005514172713</v>
      </c>
      <c r="C107" s="5">
        <v>16.535983999999999</v>
      </c>
      <c r="D107" s="2">
        <v>66</v>
      </c>
      <c r="E107" s="2" t="s">
        <v>30</v>
      </c>
      <c r="F107" s="2" t="s">
        <v>31</v>
      </c>
      <c r="G107" s="2" t="s">
        <v>32</v>
      </c>
      <c r="H107" s="2">
        <v>8080</v>
      </c>
      <c r="I107" s="2" t="s">
        <v>33</v>
      </c>
      <c r="J107" s="2">
        <v>55976</v>
      </c>
      <c r="K107" s="2" t="s">
        <v>34</v>
      </c>
      <c r="L107" s="2">
        <v>64</v>
      </c>
      <c r="M107" s="2">
        <v>17094</v>
      </c>
      <c r="N107" s="2">
        <v>52</v>
      </c>
      <c r="O107" s="2">
        <v>2671118027</v>
      </c>
      <c r="P107" s="2">
        <v>1278619710</v>
      </c>
      <c r="Q107" s="2" t="s">
        <v>36</v>
      </c>
      <c r="R107" s="2">
        <v>503</v>
      </c>
      <c r="S107" s="2">
        <v>0</v>
      </c>
    </row>
    <row r="108" spans="1:19">
      <c r="A108" s="2">
        <v>107</v>
      </c>
      <c r="B108" s="4">
        <v>46268.005514327408</v>
      </c>
      <c r="C108" s="5">
        <v>16.54935</v>
      </c>
      <c r="D108" s="2">
        <v>628</v>
      </c>
      <c r="E108" s="2" t="s">
        <v>30</v>
      </c>
      <c r="F108" s="2" t="s">
        <v>31</v>
      </c>
      <c r="G108" s="2" t="s">
        <v>32</v>
      </c>
      <c r="H108" s="2">
        <v>8080</v>
      </c>
      <c r="I108" s="2" t="s">
        <v>33</v>
      </c>
      <c r="J108" s="2">
        <v>55976</v>
      </c>
      <c r="K108" s="2" t="s">
        <v>34</v>
      </c>
      <c r="L108" s="2">
        <v>64</v>
      </c>
      <c r="M108" s="2">
        <v>17095</v>
      </c>
      <c r="N108" s="2">
        <v>614</v>
      </c>
      <c r="O108" s="2">
        <v>2671118027</v>
      </c>
      <c r="P108" s="2">
        <v>1278619710</v>
      </c>
      <c r="Q108" s="2" t="s">
        <v>35</v>
      </c>
      <c r="R108" s="2">
        <v>503</v>
      </c>
      <c r="S108" s="2">
        <v>562</v>
      </c>
    </row>
    <row r="109" spans="1:19">
      <c r="A109" s="2">
        <v>108</v>
      </c>
      <c r="B109" s="4">
        <v>46268.005514327859</v>
      </c>
      <c r="C109" s="5">
        <v>16.549389000000001</v>
      </c>
      <c r="D109" s="2">
        <v>66</v>
      </c>
      <c r="E109" s="2" t="s">
        <v>31</v>
      </c>
      <c r="F109" s="2" t="s">
        <v>30</v>
      </c>
      <c r="G109" s="2" t="s">
        <v>33</v>
      </c>
      <c r="H109" s="2">
        <v>55976</v>
      </c>
      <c r="I109" s="2" t="s">
        <v>32</v>
      </c>
      <c r="J109" s="2">
        <v>8080</v>
      </c>
      <c r="K109" s="2" t="s">
        <v>34</v>
      </c>
      <c r="L109" s="2">
        <v>64</v>
      </c>
      <c r="M109" s="2">
        <v>41127</v>
      </c>
      <c r="N109" s="2">
        <v>52</v>
      </c>
      <c r="O109" s="2">
        <v>1278619710</v>
      </c>
      <c r="P109" s="2">
        <v>2671118589</v>
      </c>
      <c r="Q109" s="2" t="s">
        <v>36</v>
      </c>
      <c r="R109" s="2">
        <v>498</v>
      </c>
      <c r="S109" s="2">
        <v>0</v>
      </c>
    </row>
    <row r="110" spans="1:19">
      <c r="A110" s="2">
        <v>109</v>
      </c>
      <c r="B110" s="4">
        <v>46268.005514332966</v>
      </c>
      <c r="C110" s="5">
        <v>16.549831000000001</v>
      </c>
      <c r="D110" s="2">
        <v>66</v>
      </c>
      <c r="E110" s="2" t="s">
        <v>31</v>
      </c>
      <c r="F110" s="2" t="s">
        <v>30</v>
      </c>
      <c r="G110" s="2" t="s">
        <v>33</v>
      </c>
      <c r="H110" s="2">
        <v>55976</v>
      </c>
      <c r="I110" s="2" t="s">
        <v>32</v>
      </c>
      <c r="J110" s="2">
        <v>8080</v>
      </c>
      <c r="K110" s="2" t="s">
        <v>34</v>
      </c>
      <c r="L110" s="2">
        <v>64</v>
      </c>
      <c r="M110" s="2">
        <v>41128</v>
      </c>
      <c r="N110" s="2">
        <v>52</v>
      </c>
      <c r="O110" s="2">
        <v>1278619710</v>
      </c>
      <c r="P110" s="2">
        <v>2671118589</v>
      </c>
      <c r="Q110" s="2" t="s">
        <v>37</v>
      </c>
      <c r="R110" s="2">
        <v>498</v>
      </c>
      <c r="S110" s="2">
        <v>0</v>
      </c>
    </row>
    <row r="111" spans="1:19">
      <c r="A111" s="2">
        <v>110</v>
      </c>
      <c r="B111" s="4">
        <v>46268.00551433432</v>
      </c>
      <c r="C111" s="5">
        <v>16.549947</v>
      </c>
      <c r="D111" s="2">
        <v>66</v>
      </c>
      <c r="E111" s="2" t="s">
        <v>30</v>
      </c>
      <c r="F111" s="2" t="s">
        <v>31</v>
      </c>
      <c r="G111" s="2" t="s">
        <v>32</v>
      </c>
      <c r="H111" s="2">
        <v>8080</v>
      </c>
      <c r="I111" s="2" t="s">
        <v>33</v>
      </c>
      <c r="J111" s="2">
        <v>55976</v>
      </c>
      <c r="K111" s="2" t="s">
        <v>34</v>
      </c>
      <c r="L111" s="2">
        <v>64</v>
      </c>
      <c r="M111" s="2">
        <v>17096</v>
      </c>
      <c r="N111" s="2">
        <v>52</v>
      </c>
      <c r="O111" s="2">
        <v>2671118589</v>
      </c>
      <c r="P111" s="2">
        <v>1278619711</v>
      </c>
      <c r="Q111" s="2" t="s">
        <v>37</v>
      </c>
      <c r="R111" s="2">
        <v>503</v>
      </c>
      <c r="S111" s="2">
        <v>0</v>
      </c>
    </row>
    <row r="112" spans="1:19">
      <c r="A112" s="2">
        <v>111</v>
      </c>
      <c r="B112" s="4">
        <v>46268.005514334538</v>
      </c>
      <c r="C112" s="5">
        <v>16.549966000000001</v>
      </c>
      <c r="D112" s="2">
        <v>66</v>
      </c>
      <c r="E112" s="2" t="s">
        <v>31</v>
      </c>
      <c r="F112" s="2" t="s">
        <v>30</v>
      </c>
      <c r="G112" s="2" t="s">
        <v>33</v>
      </c>
      <c r="H112" s="2">
        <v>55976</v>
      </c>
      <c r="I112" s="2" t="s">
        <v>32</v>
      </c>
      <c r="J112" s="2">
        <v>8080</v>
      </c>
      <c r="K112" s="2" t="s">
        <v>34</v>
      </c>
      <c r="L112" s="2">
        <v>64</v>
      </c>
      <c r="M112" s="2">
        <v>41129</v>
      </c>
      <c r="N112" s="2">
        <v>52</v>
      </c>
      <c r="O112" s="2">
        <v>1278619711</v>
      </c>
      <c r="P112" s="2">
        <v>2671118590</v>
      </c>
      <c r="Q112" s="2" t="s">
        <v>36</v>
      </c>
      <c r="R112" s="2">
        <v>498</v>
      </c>
      <c r="S112" s="2">
        <v>0</v>
      </c>
    </row>
    <row r="113" spans="1:19">
      <c r="A113" s="2">
        <v>112</v>
      </c>
      <c r="B113" s="4">
        <v>46268.005525090157</v>
      </c>
      <c r="C113" s="5">
        <v>17.479251999999999</v>
      </c>
      <c r="D113" s="2">
        <v>173</v>
      </c>
      <c r="E113" s="2" t="s">
        <v>31</v>
      </c>
      <c r="F113" s="2" t="s">
        <v>30</v>
      </c>
      <c r="G113" s="2" t="s">
        <v>33</v>
      </c>
      <c r="H113" s="2">
        <v>50558</v>
      </c>
      <c r="I113" s="2" t="s">
        <v>32</v>
      </c>
      <c r="J113" s="2">
        <v>6000</v>
      </c>
      <c r="K113" s="2" t="s">
        <v>34</v>
      </c>
      <c r="L113" s="2">
        <v>64</v>
      </c>
      <c r="M113" s="2">
        <v>46745</v>
      </c>
      <c r="N113" s="2">
        <v>159</v>
      </c>
      <c r="O113" s="2">
        <v>57236254</v>
      </c>
      <c r="P113" s="2">
        <v>2537496205</v>
      </c>
      <c r="Q113" s="2" t="s">
        <v>35</v>
      </c>
      <c r="R113" s="2">
        <v>589</v>
      </c>
      <c r="S113" s="2">
        <v>107</v>
      </c>
    </row>
    <row r="114" spans="1:19">
      <c r="A114" s="2">
        <v>113</v>
      </c>
      <c r="B114" s="4">
        <v>46268.005525116758</v>
      </c>
      <c r="C114" s="5">
        <v>17.481549999999999</v>
      </c>
      <c r="D114" s="2">
        <v>1500</v>
      </c>
      <c r="E114" s="2" t="s">
        <v>30</v>
      </c>
      <c r="F114" s="2" t="s">
        <v>31</v>
      </c>
      <c r="G114" s="2" t="s">
        <v>32</v>
      </c>
      <c r="H114" s="2">
        <v>6000</v>
      </c>
      <c r="I114" s="2" t="s">
        <v>33</v>
      </c>
      <c r="J114" s="2">
        <v>50558</v>
      </c>
      <c r="K114" s="2" t="s">
        <v>34</v>
      </c>
      <c r="L114" s="2">
        <v>64</v>
      </c>
      <c r="M114" s="2">
        <v>48363</v>
      </c>
      <c r="N114" s="2">
        <v>4148</v>
      </c>
      <c r="O114" s="2">
        <v>2537496205</v>
      </c>
      <c r="P114" s="2">
        <v>57236361</v>
      </c>
      <c r="Q114" s="2" t="s">
        <v>35</v>
      </c>
      <c r="R114" s="2">
        <v>509</v>
      </c>
      <c r="S114" s="2">
        <v>1434</v>
      </c>
    </row>
    <row r="115" spans="1:19">
      <c r="A115" s="2">
        <v>114</v>
      </c>
      <c r="B115" s="4">
        <v>46268.00552511726</v>
      </c>
      <c r="C115" s="5">
        <v>17.481593</v>
      </c>
      <c r="D115" s="2">
        <v>66</v>
      </c>
      <c r="E115" s="2" t="s">
        <v>31</v>
      </c>
      <c r="F115" s="2" t="s">
        <v>30</v>
      </c>
      <c r="G115" s="2" t="s">
        <v>33</v>
      </c>
      <c r="H115" s="2">
        <v>50558</v>
      </c>
      <c r="I115" s="2" t="s">
        <v>32</v>
      </c>
      <c r="J115" s="2">
        <v>6000</v>
      </c>
      <c r="K115" s="2" t="s">
        <v>34</v>
      </c>
      <c r="L115" s="2">
        <v>64</v>
      </c>
      <c r="M115" s="2">
        <v>46746</v>
      </c>
      <c r="N115" s="2">
        <v>52</v>
      </c>
      <c r="O115" s="2">
        <v>57236361</v>
      </c>
      <c r="P115" s="2">
        <v>2537500301</v>
      </c>
      <c r="Q115" s="2" t="s">
        <v>36</v>
      </c>
      <c r="R115" s="2">
        <v>653</v>
      </c>
      <c r="S115" s="2">
        <v>0</v>
      </c>
    </row>
    <row r="116" spans="1:19">
      <c r="A116" s="2">
        <v>115</v>
      </c>
      <c r="B116" s="4">
        <v>46268.005525117544</v>
      </c>
      <c r="C116" s="5">
        <v>17.481617</v>
      </c>
      <c r="D116" s="2">
        <v>812</v>
      </c>
      <c r="E116" s="2" t="s">
        <v>30</v>
      </c>
      <c r="F116" s="2" t="s">
        <v>31</v>
      </c>
      <c r="G116" s="2" t="s">
        <v>32</v>
      </c>
      <c r="H116" s="2">
        <v>6000</v>
      </c>
      <c r="I116" s="2" t="s">
        <v>33</v>
      </c>
      <c r="J116" s="2">
        <v>50558</v>
      </c>
      <c r="K116" s="2" t="s">
        <v>34</v>
      </c>
      <c r="L116" s="2">
        <v>64</v>
      </c>
      <c r="M116" s="2">
        <v>48366</v>
      </c>
      <c r="N116" s="2">
        <v>798</v>
      </c>
      <c r="O116" s="2">
        <v>2537500301</v>
      </c>
      <c r="P116" s="2">
        <v>57236361</v>
      </c>
      <c r="Q116" s="2" t="s">
        <v>35</v>
      </c>
      <c r="R116" s="2">
        <v>509</v>
      </c>
      <c r="S116" s="2">
        <v>746</v>
      </c>
    </row>
    <row r="117" spans="1:19">
      <c r="A117" s="2">
        <v>116</v>
      </c>
      <c r="B117" s="4">
        <v>46268.005525117776</v>
      </c>
      <c r="C117" s="5">
        <v>17.481638</v>
      </c>
      <c r="D117" s="2">
        <v>66</v>
      </c>
      <c r="E117" s="2" t="s">
        <v>31</v>
      </c>
      <c r="F117" s="2" t="s">
        <v>30</v>
      </c>
      <c r="G117" s="2" t="s">
        <v>33</v>
      </c>
      <c r="H117" s="2">
        <v>50558</v>
      </c>
      <c r="I117" s="2" t="s">
        <v>32</v>
      </c>
      <c r="J117" s="2">
        <v>6000</v>
      </c>
      <c r="K117" s="2" t="s">
        <v>34</v>
      </c>
      <c r="L117" s="2">
        <v>64</v>
      </c>
      <c r="M117" s="2">
        <v>46747</v>
      </c>
      <c r="N117" s="2">
        <v>52</v>
      </c>
      <c r="O117" s="2">
        <v>57236361</v>
      </c>
      <c r="P117" s="2">
        <v>2537501047</v>
      </c>
      <c r="Q117" s="2" t="s">
        <v>36</v>
      </c>
      <c r="R117" s="2">
        <v>676</v>
      </c>
      <c r="S117" s="2">
        <v>0</v>
      </c>
    </row>
    <row r="118" spans="1:19">
      <c r="A118" s="2">
        <v>117</v>
      </c>
      <c r="B118" s="4">
        <v>46268.005525138462</v>
      </c>
      <c r="C118" s="5">
        <v>17.483425</v>
      </c>
      <c r="D118" s="2">
        <v>74</v>
      </c>
      <c r="E118" s="2" t="s">
        <v>31</v>
      </c>
      <c r="F118" s="2" t="s">
        <v>30</v>
      </c>
      <c r="G118" s="2" t="s">
        <v>33</v>
      </c>
      <c r="H118" s="2">
        <v>55984</v>
      </c>
      <c r="I118" s="2" t="s">
        <v>32</v>
      </c>
      <c r="J118" s="2">
        <v>8080</v>
      </c>
      <c r="K118" s="2" t="s">
        <v>34</v>
      </c>
      <c r="L118" s="2">
        <v>64</v>
      </c>
      <c r="M118" s="2">
        <v>28818</v>
      </c>
      <c r="N118" s="2">
        <v>60</v>
      </c>
      <c r="O118" s="2">
        <v>803939107</v>
      </c>
      <c r="P118" s="2">
        <v>0</v>
      </c>
      <c r="Q118" s="2" t="s">
        <v>38</v>
      </c>
      <c r="R118" s="2">
        <v>64240</v>
      </c>
      <c r="S118" s="2">
        <v>0</v>
      </c>
    </row>
    <row r="119" spans="1:19">
      <c r="A119" s="2">
        <v>118</v>
      </c>
      <c r="B119" s="4">
        <v>46268.005525138688</v>
      </c>
      <c r="C119" s="5">
        <v>17.483445</v>
      </c>
      <c r="D119" s="2">
        <v>74</v>
      </c>
      <c r="E119" s="2" t="s">
        <v>30</v>
      </c>
      <c r="F119" s="2" t="s">
        <v>31</v>
      </c>
      <c r="G119" s="2" t="s">
        <v>32</v>
      </c>
      <c r="H119" s="2">
        <v>8080</v>
      </c>
      <c r="I119" s="2" t="s">
        <v>33</v>
      </c>
      <c r="J119" s="2">
        <v>55984</v>
      </c>
      <c r="K119" s="2" t="s">
        <v>34</v>
      </c>
      <c r="L119" s="2">
        <v>64</v>
      </c>
      <c r="M119" s="2">
        <v>0</v>
      </c>
      <c r="N119" s="2">
        <v>60</v>
      </c>
      <c r="O119" s="2">
        <v>2944910222</v>
      </c>
      <c r="P119" s="2">
        <v>803939108</v>
      </c>
      <c r="Q119" s="2" t="s">
        <v>39</v>
      </c>
      <c r="R119" s="2">
        <v>65160</v>
      </c>
      <c r="S119" s="2">
        <v>0</v>
      </c>
    </row>
    <row r="120" spans="1:19">
      <c r="A120" s="2">
        <v>119</v>
      </c>
      <c r="B120" s="4">
        <v>46268.005525138899</v>
      </c>
      <c r="C120" s="5">
        <v>17.483463</v>
      </c>
      <c r="D120" s="2">
        <v>66</v>
      </c>
      <c r="E120" s="2" t="s">
        <v>31</v>
      </c>
      <c r="F120" s="2" t="s">
        <v>30</v>
      </c>
      <c r="G120" s="2" t="s">
        <v>33</v>
      </c>
      <c r="H120" s="2">
        <v>55984</v>
      </c>
      <c r="I120" s="2" t="s">
        <v>32</v>
      </c>
      <c r="J120" s="2">
        <v>8080</v>
      </c>
      <c r="K120" s="2" t="s">
        <v>34</v>
      </c>
      <c r="L120" s="2">
        <v>64</v>
      </c>
      <c r="M120" s="2">
        <v>28819</v>
      </c>
      <c r="N120" s="2">
        <v>52</v>
      </c>
      <c r="O120" s="2">
        <v>803939108</v>
      </c>
      <c r="P120" s="2">
        <v>2944910223</v>
      </c>
      <c r="Q120" s="2" t="s">
        <v>36</v>
      </c>
      <c r="R120" s="2">
        <v>502</v>
      </c>
      <c r="S120" s="2">
        <v>0</v>
      </c>
    </row>
    <row r="121" spans="1:19">
      <c r="A121" s="2">
        <v>120</v>
      </c>
      <c r="B121" s="4">
        <v>46268.005525140878</v>
      </c>
      <c r="C121" s="5">
        <v>17.483633999999999</v>
      </c>
      <c r="D121" s="2">
        <v>1412</v>
      </c>
      <c r="E121" s="2" t="s">
        <v>31</v>
      </c>
      <c r="F121" s="2" t="s">
        <v>30</v>
      </c>
      <c r="G121" s="2" t="s">
        <v>33</v>
      </c>
      <c r="H121" s="2">
        <v>55984</v>
      </c>
      <c r="I121" s="2" t="s">
        <v>32</v>
      </c>
      <c r="J121" s="2">
        <v>8080</v>
      </c>
      <c r="K121" s="2" t="s">
        <v>34</v>
      </c>
      <c r="L121" s="2">
        <v>64</v>
      </c>
      <c r="M121" s="2">
        <v>28820</v>
      </c>
      <c r="N121" s="2">
        <v>1398</v>
      </c>
      <c r="O121" s="2">
        <v>803939108</v>
      </c>
      <c r="P121" s="2">
        <v>2944910223</v>
      </c>
      <c r="Q121" s="2" t="s">
        <v>35</v>
      </c>
      <c r="R121" s="2">
        <v>502</v>
      </c>
      <c r="S121" s="2">
        <v>1346</v>
      </c>
    </row>
    <row r="122" spans="1:19">
      <c r="A122" s="2">
        <v>121</v>
      </c>
      <c r="B122" s="4">
        <v>46268.005525140958</v>
      </c>
      <c r="C122" s="5">
        <v>17.483640999999999</v>
      </c>
      <c r="D122" s="2">
        <v>66</v>
      </c>
      <c r="E122" s="2" t="s">
        <v>30</v>
      </c>
      <c r="F122" s="2" t="s">
        <v>31</v>
      </c>
      <c r="G122" s="2" t="s">
        <v>32</v>
      </c>
      <c r="H122" s="2">
        <v>8080</v>
      </c>
      <c r="I122" s="2" t="s">
        <v>33</v>
      </c>
      <c r="J122" s="2">
        <v>55984</v>
      </c>
      <c r="K122" s="2" t="s">
        <v>34</v>
      </c>
      <c r="L122" s="2">
        <v>64</v>
      </c>
      <c r="M122" s="2">
        <v>24533</v>
      </c>
      <c r="N122" s="2">
        <v>52</v>
      </c>
      <c r="O122" s="2">
        <v>2944910223</v>
      </c>
      <c r="P122" s="2">
        <v>803940454</v>
      </c>
      <c r="Q122" s="2" t="s">
        <v>36</v>
      </c>
      <c r="R122" s="2">
        <v>532</v>
      </c>
      <c r="S122" s="2">
        <v>0</v>
      </c>
    </row>
    <row r="123" spans="1:19">
      <c r="A123" s="2">
        <v>122</v>
      </c>
      <c r="B123" s="4">
        <v>46268.005525197077</v>
      </c>
      <c r="C123" s="5">
        <v>17.488489999999999</v>
      </c>
      <c r="D123" s="2">
        <v>666</v>
      </c>
      <c r="E123" s="2" t="s">
        <v>30</v>
      </c>
      <c r="F123" s="2" t="s">
        <v>31</v>
      </c>
      <c r="G123" s="2" t="s">
        <v>32</v>
      </c>
      <c r="H123" s="2">
        <v>8080</v>
      </c>
      <c r="I123" s="2" t="s">
        <v>33</v>
      </c>
      <c r="J123" s="2">
        <v>55984</v>
      </c>
      <c r="K123" s="2" t="s">
        <v>34</v>
      </c>
      <c r="L123" s="2">
        <v>64</v>
      </c>
      <c r="M123" s="2">
        <v>24534</v>
      </c>
      <c r="N123" s="2">
        <v>652</v>
      </c>
      <c r="O123" s="2">
        <v>2944910223</v>
      </c>
      <c r="P123" s="2">
        <v>803940454</v>
      </c>
      <c r="Q123" s="2" t="s">
        <v>35</v>
      </c>
      <c r="R123" s="2">
        <v>532</v>
      </c>
      <c r="S123" s="2">
        <v>600</v>
      </c>
    </row>
    <row r="124" spans="1:19">
      <c r="A124" s="2">
        <v>123</v>
      </c>
      <c r="B124" s="4">
        <v>46268.005525197477</v>
      </c>
      <c r="C124" s="5">
        <v>17.488524000000002</v>
      </c>
      <c r="D124" s="2">
        <v>66</v>
      </c>
      <c r="E124" s="2" t="s">
        <v>31</v>
      </c>
      <c r="F124" s="2" t="s">
        <v>30</v>
      </c>
      <c r="G124" s="2" t="s">
        <v>33</v>
      </c>
      <c r="H124" s="2">
        <v>55984</v>
      </c>
      <c r="I124" s="2" t="s">
        <v>32</v>
      </c>
      <c r="J124" s="2">
        <v>8080</v>
      </c>
      <c r="K124" s="2" t="s">
        <v>34</v>
      </c>
      <c r="L124" s="2">
        <v>64</v>
      </c>
      <c r="M124" s="2">
        <v>28821</v>
      </c>
      <c r="N124" s="2">
        <v>52</v>
      </c>
      <c r="O124" s="2">
        <v>803940454</v>
      </c>
      <c r="P124" s="2">
        <v>2944910823</v>
      </c>
      <c r="Q124" s="2" t="s">
        <v>36</v>
      </c>
      <c r="R124" s="2">
        <v>498</v>
      </c>
      <c r="S124" s="2">
        <v>0</v>
      </c>
    </row>
    <row r="125" spans="1:19">
      <c r="A125" s="2">
        <v>124</v>
      </c>
      <c r="B125" s="4">
        <v>46268.005525200519</v>
      </c>
      <c r="C125" s="5">
        <v>17.488786999999999</v>
      </c>
      <c r="D125" s="2">
        <v>66</v>
      </c>
      <c r="E125" s="2" t="s">
        <v>31</v>
      </c>
      <c r="F125" s="2" t="s">
        <v>30</v>
      </c>
      <c r="G125" s="2" t="s">
        <v>33</v>
      </c>
      <c r="H125" s="2">
        <v>55984</v>
      </c>
      <c r="I125" s="2" t="s">
        <v>32</v>
      </c>
      <c r="J125" s="2">
        <v>8080</v>
      </c>
      <c r="K125" s="2" t="s">
        <v>34</v>
      </c>
      <c r="L125" s="2">
        <v>64</v>
      </c>
      <c r="M125" s="2">
        <v>28822</v>
      </c>
      <c r="N125" s="2">
        <v>52</v>
      </c>
      <c r="O125" s="2">
        <v>803940454</v>
      </c>
      <c r="P125" s="2">
        <v>2944910823</v>
      </c>
      <c r="Q125" s="2" t="s">
        <v>37</v>
      </c>
      <c r="R125" s="2">
        <v>498</v>
      </c>
      <c r="S125" s="2">
        <v>0</v>
      </c>
    </row>
    <row r="126" spans="1:19">
      <c r="A126" s="2">
        <v>125</v>
      </c>
      <c r="B126" s="4">
        <v>46268.005525202221</v>
      </c>
      <c r="C126" s="5">
        <v>17.488934</v>
      </c>
      <c r="D126" s="2">
        <v>66</v>
      </c>
      <c r="E126" s="2" t="s">
        <v>30</v>
      </c>
      <c r="F126" s="2" t="s">
        <v>31</v>
      </c>
      <c r="G126" s="2" t="s">
        <v>32</v>
      </c>
      <c r="H126" s="2">
        <v>8080</v>
      </c>
      <c r="I126" s="2" t="s">
        <v>33</v>
      </c>
      <c r="J126" s="2">
        <v>55984</v>
      </c>
      <c r="K126" s="2" t="s">
        <v>34</v>
      </c>
      <c r="L126" s="2">
        <v>64</v>
      </c>
      <c r="M126" s="2">
        <v>24535</v>
      </c>
      <c r="N126" s="2">
        <v>52</v>
      </c>
      <c r="O126" s="2">
        <v>2944910823</v>
      </c>
      <c r="P126" s="2">
        <v>803940455</v>
      </c>
      <c r="Q126" s="2" t="s">
        <v>37</v>
      </c>
      <c r="R126" s="2">
        <v>532</v>
      </c>
      <c r="S126" s="2">
        <v>0</v>
      </c>
    </row>
    <row r="127" spans="1:19">
      <c r="A127" s="2">
        <v>126</v>
      </c>
      <c r="B127" s="4">
        <v>46268.005525202447</v>
      </c>
      <c r="C127" s="5">
        <v>17.488954</v>
      </c>
      <c r="D127" s="2">
        <v>66</v>
      </c>
      <c r="E127" s="2" t="s">
        <v>31</v>
      </c>
      <c r="F127" s="2" t="s">
        <v>30</v>
      </c>
      <c r="G127" s="2" t="s">
        <v>33</v>
      </c>
      <c r="H127" s="2">
        <v>55984</v>
      </c>
      <c r="I127" s="2" t="s">
        <v>32</v>
      </c>
      <c r="J127" s="2">
        <v>8080</v>
      </c>
      <c r="K127" s="2" t="s">
        <v>34</v>
      </c>
      <c r="L127" s="2">
        <v>64</v>
      </c>
      <c r="M127" s="2">
        <v>28823</v>
      </c>
      <c r="N127" s="2">
        <v>52</v>
      </c>
      <c r="O127" s="2">
        <v>803940455</v>
      </c>
      <c r="P127" s="2">
        <v>2944910824</v>
      </c>
      <c r="Q127" s="2" t="s">
        <v>36</v>
      </c>
      <c r="R127" s="2">
        <v>498</v>
      </c>
      <c r="S127" s="2">
        <v>0</v>
      </c>
    </row>
    <row r="128" spans="1:19">
      <c r="A128" s="2">
        <v>127</v>
      </c>
      <c r="B128" s="4">
        <v>46268.005611803099</v>
      </c>
      <c r="C128" s="5">
        <v>24.971250000000001</v>
      </c>
      <c r="D128" s="2">
        <v>431</v>
      </c>
      <c r="E128" s="2" t="s">
        <v>31</v>
      </c>
      <c r="F128" s="2" t="s">
        <v>30</v>
      </c>
      <c r="G128" s="2" t="s">
        <v>33</v>
      </c>
      <c r="H128" s="2">
        <v>51340</v>
      </c>
      <c r="I128" s="2" t="s">
        <v>32</v>
      </c>
      <c r="J128" s="2">
        <v>8080</v>
      </c>
      <c r="K128" s="2" t="s">
        <v>34</v>
      </c>
      <c r="L128" s="2">
        <v>64</v>
      </c>
      <c r="M128" s="2">
        <v>62185</v>
      </c>
      <c r="N128" s="2">
        <v>417</v>
      </c>
      <c r="O128" s="2">
        <v>4156693982</v>
      </c>
      <c r="P128" s="2">
        <v>345226176</v>
      </c>
      <c r="Q128" s="2" t="s">
        <v>35</v>
      </c>
      <c r="R128" s="2">
        <v>681</v>
      </c>
      <c r="S128" s="2">
        <v>365</v>
      </c>
    </row>
    <row r="129" spans="1:19">
      <c r="A129" s="2">
        <v>128</v>
      </c>
      <c r="B129" s="4">
        <v>46268.005611803303</v>
      </c>
      <c r="C129" s="5">
        <v>24.971267000000001</v>
      </c>
      <c r="D129" s="2">
        <v>66</v>
      </c>
      <c r="E129" s="2" t="s">
        <v>30</v>
      </c>
      <c r="F129" s="2" t="s">
        <v>31</v>
      </c>
      <c r="G129" s="2" t="s">
        <v>32</v>
      </c>
      <c r="H129" s="2">
        <v>8080</v>
      </c>
      <c r="I129" s="2" t="s">
        <v>33</v>
      </c>
      <c r="J129" s="2">
        <v>51340</v>
      </c>
      <c r="K129" s="2" t="s">
        <v>34</v>
      </c>
      <c r="L129" s="2">
        <v>64</v>
      </c>
      <c r="M129" s="2">
        <v>37617</v>
      </c>
      <c r="N129" s="2">
        <v>52</v>
      </c>
      <c r="O129" s="2">
        <v>345226176</v>
      </c>
      <c r="P129" s="2">
        <v>4156694347</v>
      </c>
      <c r="Q129" s="2" t="s">
        <v>36</v>
      </c>
      <c r="R129" s="2">
        <v>630</v>
      </c>
      <c r="S129" s="2">
        <v>0</v>
      </c>
    </row>
    <row r="130" spans="1:19">
      <c r="A130" s="2">
        <v>129</v>
      </c>
      <c r="B130" s="4">
        <v>46268.005615859482</v>
      </c>
      <c r="C130" s="5">
        <v>25.321721</v>
      </c>
      <c r="D130" s="2">
        <v>74</v>
      </c>
      <c r="E130" s="2" t="s">
        <v>31</v>
      </c>
      <c r="F130" s="2" t="s">
        <v>30</v>
      </c>
      <c r="G130" s="2" t="s">
        <v>33</v>
      </c>
      <c r="H130" s="2">
        <v>32936</v>
      </c>
      <c r="I130" s="2" t="s">
        <v>32</v>
      </c>
      <c r="J130" s="2">
        <v>8080</v>
      </c>
      <c r="K130" s="2" t="s">
        <v>34</v>
      </c>
      <c r="L130" s="2">
        <v>64</v>
      </c>
      <c r="M130" s="2">
        <v>56874</v>
      </c>
      <c r="N130" s="2">
        <v>60</v>
      </c>
      <c r="O130" s="2">
        <v>1314413667</v>
      </c>
      <c r="P130" s="2">
        <v>0</v>
      </c>
      <c r="Q130" s="2" t="s">
        <v>38</v>
      </c>
      <c r="R130" s="2">
        <v>64240</v>
      </c>
      <c r="S130" s="2">
        <v>0</v>
      </c>
    </row>
    <row r="131" spans="1:19">
      <c r="A131" s="2">
        <v>130</v>
      </c>
      <c r="B131" s="4">
        <v>46268.005615859918</v>
      </c>
      <c r="C131" s="5">
        <v>25.321759</v>
      </c>
      <c r="D131" s="2">
        <v>74</v>
      </c>
      <c r="E131" s="2" t="s">
        <v>30</v>
      </c>
      <c r="F131" s="2" t="s">
        <v>31</v>
      </c>
      <c r="G131" s="2" t="s">
        <v>32</v>
      </c>
      <c r="H131" s="2">
        <v>8080</v>
      </c>
      <c r="I131" s="2" t="s">
        <v>33</v>
      </c>
      <c r="J131" s="2">
        <v>32936</v>
      </c>
      <c r="K131" s="2" t="s">
        <v>34</v>
      </c>
      <c r="L131" s="2">
        <v>64</v>
      </c>
      <c r="M131" s="2">
        <v>0</v>
      </c>
      <c r="N131" s="2">
        <v>60</v>
      </c>
      <c r="O131" s="2">
        <v>2135214054</v>
      </c>
      <c r="P131" s="2">
        <v>1314413668</v>
      </c>
      <c r="Q131" s="2" t="s">
        <v>39</v>
      </c>
      <c r="R131" s="2">
        <v>65160</v>
      </c>
      <c r="S131" s="2">
        <v>0</v>
      </c>
    </row>
    <row r="132" spans="1:19">
      <c r="A132" s="2">
        <v>131</v>
      </c>
      <c r="B132" s="4">
        <v>46268.005615860173</v>
      </c>
      <c r="C132" s="5">
        <v>25.321781000000001</v>
      </c>
      <c r="D132" s="2">
        <v>66</v>
      </c>
      <c r="E132" s="2" t="s">
        <v>31</v>
      </c>
      <c r="F132" s="2" t="s">
        <v>30</v>
      </c>
      <c r="G132" s="2" t="s">
        <v>33</v>
      </c>
      <c r="H132" s="2">
        <v>32936</v>
      </c>
      <c r="I132" s="2" t="s">
        <v>32</v>
      </c>
      <c r="J132" s="2">
        <v>8080</v>
      </c>
      <c r="K132" s="2" t="s">
        <v>34</v>
      </c>
      <c r="L132" s="2">
        <v>64</v>
      </c>
      <c r="M132" s="2">
        <v>56875</v>
      </c>
      <c r="N132" s="2">
        <v>52</v>
      </c>
      <c r="O132" s="2">
        <v>1314413668</v>
      </c>
      <c r="P132" s="2">
        <v>2135214055</v>
      </c>
      <c r="Q132" s="2" t="s">
        <v>36</v>
      </c>
      <c r="R132" s="2">
        <v>502</v>
      </c>
      <c r="S132" s="2">
        <v>0</v>
      </c>
    </row>
    <row r="133" spans="1:19">
      <c r="A133" s="2">
        <v>132</v>
      </c>
      <c r="B133" s="4">
        <v>46268.00561586293</v>
      </c>
      <c r="C133" s="5">
        <v>25.322019000000001</v>
      </c>
      <c r="D133" s="2">
        <v>887</v>
      </c>
      <c r="E133" s="2" t="s">
        <v>31</v>
      </c>
      <c r="F133" s="2" t="s">
        <v>30</v>
      </c>
      <c r="G133" s="2" t="s">
        <v>33</v>
      </c>
      <c r="H133" s="2">
        <v>32936</v>
      </c>
      <c r="I133" s="2" t="s">
        <v>32</v>
      </c>
      <c r="J133" s="2">
        <v>8080</v>
      </c>
      <c r="K133" s="2" t="s">
        <v>34</v>
      </c>
      <c r="L133" s="2">
        <v>64</v>
      </c>
      <c r="M133" s="2">
        <v>56876</v>
      </c>
      <c r="N133" s="2">
        <v>873</v>
      </c>
      <c r="O133" s="2">
        <v>1314413668</v>
      </c>
      <c r="P133" s="2">
        <v>2135214055</v>
      </c>
      <c r="Q133" s="2" t="s">
        <v>35</v>
      </c>
      <c r="R133" s="2">
        <v>502</v>
      </c>
      <c r="S133" s="2">
        <v>821</v>
      </c>
    </row>
    <row r="134" spans="1:19">
      <c r="A134" s="2">
        <v>133</v>
      </c>
      <c r="B134" s="4">
        <v>46268.005615863047</v>
      </c>
      <c r="C134" s="5">
        <v>25.322029000000001</v>
      </c>
      <c r="D134" s="2">
        <v>66</v>
      </c>
      <c r="E134" s="2" t="s">
        <v>30</v>
      </c>
      <c r="F134" s="2" t="s">
        <v>31</v>
      </c>
      <c r="G134" s="2" t="s">
        <v>32</v>
      </c>
      <c r="H134" s="2">
        <v>8080</v>
      </c>
      <c r="I134" s="2" t="s">
        <v>33</v>
      </c>
      <c r="J134" s="2">
        <v>32936</v>
      </c>
      <c r="K134" s="2" t="s">
        <v>34</v>
      </c>
      <c r="L134" s="2">
        <v>64</v>
      </c>
      <c r="M134" s="2">
        <v>59136</v>
      </c>
      <c r="N134" s="2">
        <v>52</v>
      </c>
      <c r="O134" s="2">
        <v>2135214055</v>
      </c>
      <c r="P134" s="2">
        <v>1314414489</v>
      </c>
      <c r="Q134" s="2" t="s">
        <v>36</v>
      </c>
      <c r="R134" s="2">
        <v>503</v>
      </c>
      <c r="S134" s="2">
        <v>0</v>
      </c>
    </row>
    <row r="135" spans="1:19">
      <c r="A135" s="2">
        <v>134</v>
      </c>
      <c r="B135" s="4">
        <v>46268.005615938782</v>
      </c>
      <c r="C135" s="5">
        <v>25.328572000000001</v>
      </c>
      <c r="D135" s="2">
        <v>459</v>
      </c>
      <c r="E135" s="2" t="s">
        <v>30</v>
      </c>
      <c r="F135" s="2" t="s">
        <v>31</v>
      </c>
      <c r="G135" s="2" t="s">
        <v>32</v>
      </c>
      <c r="H135" s="2">
        <v>8080</v>
      </c>
      <c r="I135" s="2" t="s">
        <v>33</v>
      </c>
      <c r="J135" s="2">
        <v>32936</v>
      </c>
      <c r="K135" s="2" t="s">
        <v>34</v>
      </c>
      <c r="L135" s="2">
        <v>64</v>
      </c>
      <c r="M135" s="2">
        <v>59137</v>
      </c>
      <c r="N135" s="2">
        <v>445</v>
      </c>
      <c r="O135" s="2">
        <v>2135214055</v>
      </c>
      <c r="P135" s="2">
        <v>1314414489</v>
      </c>
      <c r="Q135" s="2" t="s">
        <v>35</v>
      </c>
      <c r="R135" s="2">
        <v>503</v>
      </c>
      <c r="S135" s="2">
        <v>393</v>
      </c>
    </row>
    <row r="136" spans="1:19">
      <c r="A136" s="2">
        <v>135</v>
      </c>
      <c r="B136" s="4">
        <v>46268.005615939233</v>
      </c>
      <c r="C136" s="5">
        <v>25.328612</v>
      </c>
      <c r="D136" s="2">
        <v>66</v>
      </c>
      <c r="E136" s="2" t="s">
        <v>31</v>
      </c>
      <c r="F136" s="2" t="s">
        <v>30</v>
      </c>
      <c r="G136" s="2" t="s">
        <v>33</v>
      </c>
      <c r="H136" s="2">
        <v>32936</v>
      </c>
      <c r="I136" s="2" t="s">
        <v>32</v>
      </c>
      <c r="J136" s="2">
        <v>8080</v>
      </c>
      <c r="K136" s="2" t="s">
        <v>34</v>
      </c>
      <c r="L136" s="2">
        <v>64</v>
      </c>
      <c r="M136" s="2">
        <v>56877</v>
      </c>
      <c r="N136" s="2">
        <v>52</v>
      </c>
      <c r="O136" s="2">
        <v>1314414489</v>
      </c>
      <c r="P136" s="2">
        <v>2135214448</v>
      </c>
      <c r="Q136" s="2" t="s">
        <v>36</v>
      </c>
      <c r="R136" s="2">
        <v>501</v>
      </c>
      <c r="S136" s="2">
        <v>0</v>
      </c>
    </row>
    <row r="137" spans="1:19">
      <c r="A137" s="2">
        <v>136</v>
      </c>
      <c r="B137" s="4">
        <v>46268.005615945229</v>
      </c>
      <c r="C137" s="5">
        <v>25.329129999999999</v>
      </c>
      <c r="D137" s="2">
        <v>66</v>
      </c>
      <c r="E137" s="2" t="s">
        <v>30</v>
      </c>
      <c r="F137" s="2" t="s">
        <v>31</v>
      </c>
      <c r="G137" s="2" t="s">
        <v>32</v>
      </c>
      <c r="H137" s="2">
        <v>8080</v>
      </c>
      <c r="I137" s="2" t="s">
        <v>33</v>
      </c>
      <c r="J137" s="2">
        <v>32936</v>
      </c>
      <c r="K137" s="2" t="s">
        <v>34</v>
      </c>
      <c r="L137" s="2">
        <v>64</v>
      </c>
      <c r="M137" s="2">
        <v>59138</v>
      </c>
      <c r="N137" s="2">
        <v>52</v>
      </c>
      <c r="O137" s="2">
        <v>2135214448</v>
      </c>
      <c r="P137" s="2">
        <v>1314414489</v>
      </c>
      <c r="Q137" s="2" t="s">
        <v>37</v>
      </c>
      <c r="R137" s="2">
        <v>503</v>
      </c>
      <c r="S137" s="2">
        <v>0</v>
      </c>
    </row>
    <row r="138" spans="1:19">
      <c r="A138" s="2">
        <v>137</v>
      </c>
      <c r="B138" s="4">
        <v>46268.005615948903</v>
      </c>
      <c r="C138" s="5">
        <v>25.329446999999998</v>
      </c>
      <c r="D138" s="2">
        <v>66</v>
      </c>
      <c r="E138" s="2" t="s">
        <v>31</v>
      </c>
      <c r="F138" s="2" t="s">
        <v>30</v>
      </c>
      <c r="G138" s="2" t="s">
        <v>33</v>
      </c>
      <c r="H138" s="2">
        <v>32936</v>
      </c>
      <c r="I138" s="2" t="s">
        <v>32</v>
      </c>
      <c r="J138" s="2">
        <v>8080</v>
      </c>
      <c r="K138" s="2" t="s">
        <v>34</v>
      </c>
      <c r="L138" s="2">
        <v>64</v>
      </c>
      <c r="M138" s="2">
        <v>56878</v>
      </c>
      <c r="N138" s="2">
        <v>52</v>
      </c>
      <c r="O138" s="2">
        <v>1314414489</v>
      </c>
      <c r="P138" s="2">
        <v>2135214449</v>
      </c>
      <c r="Q138" s="2" t="s">
        <v>37</v>
      </c>
      <c r="R138" s="2">
        <v>501</v>
      </c>
      <c r="S138" s="2">
        <v>0</v>
      </c>
    </row>
    <row r="139" spans="1:19">
      <c r="A139" s="2">
        <v>138</v>
      </c>
      <c r="B139" s="4">
        <v>46268.00561594902</v>
      </c>
      <c r="C139" s="5">
        <v>25.329457000000001</v>
      </c>
      <c r="D139" s="2">
        <v>66</v>
      </c>
      <c r="E139" s="2" t="s">
        <v>30</v>
      </c>
      <c r="F139" s="2" t="s">
        <v>31</v>
      </c>
      <c r="G139" s="2" t="s">
        <v>32</v>
      </c>
      <c r="H139" s="2">
        <v>8080</v>
      </c>
      <c r="I139" s="2" t="s">
        <v>33</v>
      </c>
      <c r="J139" s="2">
        <v>32936</v>
      </c>
      <c r="K139" s="2" t="s">
        <v>34</v>
      </c>
      <c r="L139" s="2">
        <v>64</v>
      </c>
      <c r="M139" s="2">
        <v>59139</v>
      </c>
      <c r="N139" s="2">
        <v>52</v>
      </c>
      <c r="O139" s="2">
        <v>2135214449</v>
      </c>
      <c r="P139" s="2">
        <v>1314414490</v>
      </c>
      <c r="Q139" s="2" t="s">
        <v>36</v>
      </c>
      <c r="R139" s="2">
        <v>503</v>
      </c>
      <c r="S139" s="2">
        <v>0</v>
      </c>
    </row>
    <row r="140" spans="1:19">
      <c r="A140" s="2">
        <v>139</v>
      </c>
      <c r="B140" s="4">
        <v>46268.005631956759</v>
      </c>
      <c r="C140" s="5">
        <v>26.712526</v>
      </c>
      <c r="D140" s="2">
        <v>74</v>
      </c>
      <c r="E140" s="2" t="s">
        <v>31</v>
      </c>
      <c r="F140" s="2" t="s">
        <v>30</v>
      </c>
      <c r="G140" s="2" t="s">
        <v>33</v>
      </c>
      <c r="H140" s="2">
        <v>32940</v>
      </c>
      <c r="I140" s="2" t="s">
        <v>32</v>
      </c>
      <c r="J140" s="2">
        <v>8080</v>
      </c>
      <c r="K140" s="2" t="s">
        <v>34</v>
      </c>
      <c r="L140" s="2">
        <v>64</v>
      </c>
      <c r="M140" s="2">
        <v>64570</v>
      </c>
      <c r="N140" s="2">
        <v>60</v>
      </c>
      <c r="O140" s="2">
        <v>658213281</v>
      </c>
      <c r="P140" s="2">
        <v>0</v>
      </c>
      <c r="Q140" s="2" t="s">
        <v>38</v>
      </c>
      <c r="R140" s="2">
        <v>64240</v>
      </c>
      <c r="S140" s="2">
        <v>0</v>
      </c>
    </row>
    <row r="141" spans="1:19">
      <c r="A141" s="2">
        <v>140</v>
      </c>
      <c r="B141" s="4">
        <v>46268.005631957043</v>
      </c>
      <c r="C141" s="5">
        <v>26.71255</v>
      </c>
      <c r="D141" s="2">
        <v>74</v>
      </c>
      <c r="E141" s="2" t="s">
        <v>30</v>
      </c>
      <c r="F141" s="2" t="s">
        <v>31</v>
      </c>
      <c r="G141" s="2" t="s">
        <v>32</v>
      </c>
      <c r="H141" s="2">
        <v>8080</v>
      </c>
      <c r="I141" s="2" t="s">
        <v>33</v>
      </c>
      <c r="J141" s="2">
        <v>32940</v>
      </c>
      <c r="K141" s="2" t="s">
        <v>34</v>
      </c>
      <c r="L141" s="2">
        <v>64</v>
      </c>
      <c r="M141" s="2">
        <v>0</v>
      </c>
      <c r="N141" s="2">
        <v>60</v>
      </c>
      <c r="O141" s="2">
        <v>500066322</v>
      </c>
      <c r="P141" s="2">
        <v>658213282</v>
      </c>
      <c r="Q141" s="2" t="s">
        <v>39</v>
      </c>
      <c r="R141" s="2">
        <v>65160</v>
      </c>
      <c r="S141" s="2">
        <v>0</v>
      </c>
    </row>
    <row r="142" spans="1:19">
      <c r="A142" s="2">
        <v>141</v>
      </c>
      <c r="B142" s="4">
        <v>46268.005631957312</v>
      </c>
      <c r="C142" s="5">
        <v>26.712572999999999</v>
      </c>
      <c r="D142" s="2">
        <v>66</v>
      </c>
      <c r="E142" s="2" t="s">
        <v>31</v>
      </c>
      <c r="F142" s="2" t="s">
        <v>30</v>
      </c>
      <c r="G142" s="2" t="s">
        <v>33</v>
      </c>
      <c r="H142" s="2">
        <v>32940</v>
      </c>
      <c r="I142" s="2" t="s">
        <v>32</v>
      </c>
      <c r="J142" s="2">
        <v>8080</v>
      </c>
      <c r="K142" s="2" t="s">
        <v>34</v>
      </c>
      <c r="L142" s="2">
        <v>64</v>
      </c>
      <c r="M142" s="2">
        <v>64571</v>
      </c>
      <c r="N142" s="2">
        <v>52</v>
      </c>
      <c r="O142" s="2">
        <v>658213282</v>
      </c>
      <c r="P142" s="2">
        <v>500066323</v>
      </c>
      <c r="Q142" s="2" t="s">
        <v>36</v>
      </c>
      <c r="R142" s="2">
        <v>502</v>
      </c>
      <c r="S142" s="2">
        <v>0</v>
      </c>
    </row>
    <row r="143" spans="1:19">
      <c r="A143" s="2">
        <v>142</v>
      </c>
      <c r="B143" s="4">
        <v>46268.005631958993</v>
      </c>
      <c r="C143" s="5">
        <v>26.712719</v>
      </c>
      <c r="D143" s="2">
        <v>891</v>
      </c>
      <c r="E143" s="2" t="s">
        <v>31</v>
      </c>
      <c r="F143" s="2" t="s">
        <v>30</v>
      </c>
      <c r="G143" s="2" t="s">
        <v>33</v>
      </c>
      <c r="H143" s="2">
        <v>32940</v>
      </c>
      <c r="I143" s="2" t="s">
        <v>32</v>
      </c>
      <c r="J143" s="2">
        <v>8080</v>
      </c>
      <c r="K143" s="2" t="s">
        <v>34</v>
      </c>
      <c r="L143" s="2">
        <v>64</v>
      </c>
      <c r="M143" s="2">
        <v>64572</v>
      </c>
      <c r="N143" s="2">
        <v>877</v>
      </c>
      <c r="O143" s="2">
        <v>658213282</v>
      </c>
      <c r="P143" s="2">
        <v>500066323</v>
      </c>
      <c r="Q143" s="2" t="s">
        <v>35</v>
      </c>
      <c r="R143" s="2">
        <v>502</v>
      </c>
      <c r="S143" s="2">
        <v>825</v>
      </c>
    </row>
    <row r="144" spans="1:19">
      <c r="A144" s="2">
        <v>143</v>
      </c>
      <c r="B144" s="4">
        <v>46268.005631959073</v>
      </c>
      <c r="C144" s="5">
        <v>26.712726</v>
      </c>
      <c r="D144" s="2">
        <v>66</v>
      </c>
      <c r="E144" s="2" t="s">
        <v>30</v>
      </c>
      <c r="F144" s="2" t="s">
        <v>31</v>
      </c>
      <c r="G144" s="2" t="s">
        <v>32</v>
      </c>
      <c r="H144" s="2">
        <v>8080</v>
      </c>
      <c r="I144" s="2" t="s">
        <v>33</v>
      </c>
      <c r="J144" s="2">
        <v>32940</v>
      </c>
      <c r="K144" s="2" t="s">
        <v>34</v>
      </c>
      <c r="L144" s="2">
        <v>64</v>
      </c>
      <c r="M144" s="2">
        <v>3315</v>
      </c>
      <c r="N144" s="2">
        <v>52</v>
      </c>
      <c r="O144" s="2">
        <v>500066323</v>
      </c>
      <c r="P144" s="2">
        <v>658214107</v>
      </c>
      <c r="Q144" s="2" t="s">
        <v>36</v>
      </c>
      <c r="R144" s="2">
        <v>503</v>
      </c>
      <c r="S144" s="2">
        <v>0</v>
      </c>
    </row>
    <row r="145" spans="1:19">
      <c r="A145" s="2">
        <v>144</v>
      </c>
      <c r="B145" s="4">
        <v>46268.005632047141</v>
      </c>
      <c r="C145" s="5">
        <v>26.720334999999999</v>
      </c>
      <c r="D145" s="2">
        <v>628</v>
      </c>
      <c r="E145" s="2" t="s">
        <v>30</v>
      </c>
      <c r="F145" s="2" t="s">
        <v>31</v>
      </c>
      <c r="G145" s="2" t="s">
        <v>32</v>
      </c>
      <c r="H145" s="2">
        <v>8080</v>
      </c>
      <c r="I145" s="2" t="s">
        <v>33</v>
      </c>
      <c r="J145" s="2">
        <v>32940</v>
      </c>
      <c r="K145" s="2" t="s">
        <v>34</v>
      </c>
      <c r="L145" s="2">
        <v>64</v>
      </c>
      <c r="M145" s="2">
        <v>3316</v>
      </c>
      <c r="N145" s="2">
        <v>614</v>
      </c>
      <c r="O145" s="2">
        <v>500066323</v>
      </c>
      <c r="P145" s="2">
        <v>658214107</v>
      </c>
      <c r="Q145" s="2" t="s">
        <v>35</v>
      </c>
      <c r="R145" s="2">
        <v>503</v>
      </c>
      <c r="S145" s="2">
        <v>562</v>
      </c>
    </row>
    <row r="146" spans="1:19">
      <c r="A146" s="2">
        <v>145</v>
      </c>
      <c r="B146" s="4">
        <v>46268.005632047672</v>
      </c>
      <c r="C146" s="5">
        <v>26.720381</v>
      </c>
      <c r="D146" s="2">
        <v>66</v>
      </c>
      <c r="E146" s="2" t="s">
        <v>31</v>
      </c>
      <c r="F146" s="2" t="s">
        <v>30</v>
      </c>
      <c r="G146" s="2" t="s">
        <v>33</v>
      </c>
      <c r="H146" s="2">
        <v>32940</v>
      </c>
      <c r="I146" s="2" t="s">
        <v>32</v>
      </c>
      <c r="J146" s="2">
        <v>8080</v>
      </c>
      <c r="K146" s="2" t="s">
        <v>34</v>
      </c>
      <c r="L146" s="2">
        <v>64</v>
      </c>
      <c r="M146" s="2">
        <v>64573</v>
      </c>
      <c r="N146" s="2">
        <v>52</v>
      </c>
      <c r="O146" s="2">
        <v>658214107</v>
      </c>
      <c r="P146" s="2">
        <v>500066885</v>
      </c>
      <c r="Q146" s="2" t="s">
        <v>36</v>
      </c>
      <c r="R146" s="2">
        <v>498</v>
      </c>
      <c r="S146" s="2">
        <v>0</v>
      </c>
    </row>
    <row r="147" spans="1:19">
      <c r="A147" s="2">
        <v>146</v>
      </c>
      <c r="B147" s="4">
        <v>46268.005632066663</v>
      </c>
      <c r="C147" s="5">
        <v>26.722021000000002</v>
      </c>
      <c r="D147" s="2">
        <v>66</v>
      </c>
      <c r="E147" s="2" t="s">
        <v>31</v>
      </c>
      <c r="F147" s="2" t="s">
        <v>30</v>
      </c>
      <c r="G147" s="2" t="s">
        <v>33</v>
      </c>
      <c r="H147" s="2">
        <v>32940</v>
      </c>
      <c r="I147" s="2" t="s">
        <v>32</v>
      </c>
      <c r="J147" s="2">
        <v>8080</v>
      </c>
      <c r="K147" s="2" t="s">
        <v>34</v>
      </c>
      <c r="L147" s="2">
        <v>64</v>
      </c>
      <c r="M147" s="2">
        <v>64574</v>
      </c>
      <c r="N147" s="2">
        <v>52</v>
      </c>
      <c r="O147" s="2">
        <v>658214107</v>
      </c>
      <c r="P147" s="2">
        <v>500066885</v>
      </c>
      <c r="Q147" s="2" t="s">
        <v>37</v>
      </c>
      <c r="R147" s="2">
        <v>498</v>
      </c>
      <c r="S147" s="2">
        <v>0</v>
      </c>
    </row>
    <row r="148" spans="1:19">
      <c r="A148" s="2">
        <v>147</v>
      </c>
      <c r="B148" s="4">
        <v>46268.005632068533</v>
      </c>
      <c r="C148" s="5">
        <v>26.722183000000001</v>
      </c>
      <c r="D148" s="2">
        <v>66</v>
      </c>
      <c r="E148" s="2" t="s">
        <v>30</v>
      </c>
      <c r="F148" s="2" t="s">
        <v>31</v>
      </c>
      <c r="G148" s="2" t="s">
        <v>32</v>
      </c>
      <c r="H148" s="2">
        <v>8080</v>
      </c>
      <c r="I148" s="2" t="s">
        <v>33</v>
      </c>
      <c r="J148" s="2">
        <v>32940</v>
      </c>
      <c r="K148" s="2" t="s">
        <v>34</v>
      </c>
      <c r="L148" s="2">
        <v>64</v>
      </c>
      <c r="M148" s="2">
        <v>3317</v>
      </c>
      <c r="N148" s="2">
        <v>52</v>
      </c>
      <c r="O148" s="2">
        <v>500066885</v>
      </c>
      <c r="P148" s="2">
        <v>658214108</v>
      </c>
      <c r="Q148" s="2" t="s">
        <v>37</v>
      </c>
      <c r="R148" s="2">
        <v>503</v>
      </c>
      <c r="S148" s="2">
        <v>0</v>
      </c>
    </row>
    <row r="149" spans="1:19">
      <c r="A149" s="2">
        <v>148</v>
      </c>
      <c r="B149" s="4">
        <v>46268.005632068831</v>
      </c>
      <c r="C149" s="5">
        <v>26.722208999999999</v>
      </c>
      <c r="D149" s="2">
        <v>66</v>
      </c>
      <c r="E149" s="2" t="s">
        <v>31</v>
      </c>
      <c r="F149" s="2" t="s">
        <v>30</v>
      </c>
      <c r="G149" s="2" t="s">
        <v>33</v>
      </c>
      <c r="H149" s="2">
        <v>32940</v>
      </c>
      <c r="I149" s="2" t="s">
        <v>32</v>
      </c>
      <c r="J149" s="2">
        <v>8080</v>
      </c>
      <c r="K149" s="2" t="s">
        <v>34</v>
      </c>
      <c r="L149" s="2">
        <v>64</v>
      </c>
      <c r="M149" s="2">
        <v>64575</v>
      </c>
      <c r="N149" s="2">
        <v>52</v>
      </c>
      <c r="O149" s="2">
        <v>658214108</v>
      </c>
      <c r="P149" s="2">
        <v>500066886</v>
      </c>
      <c r="Q149" s="2" t="s">
        <v>36</v>
      </c>
      <c r="R149" s="2">
        <v>498</v>
      </c>
      <c r="S149" s="2">
        <v>0</v>
      </c>
    </row>
  </sheetData>
  <autoFilter ref="A1:S14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workbookViewId="0">
      <pane ySplit="1" topLeftCell="A2" activePane="bottomLeft" state="frozen"/>
      <selection pane="bottomLeft" activeCell="I5" sqref="I5"/>
    </sheetView>
  </sheetViews>
  <sheetFormatPr defaultColWidth="8.85546875" defaultRowHeight="14.45"/>
  <cols>
    <col min="1" max="1" width="25.28515625" customWidth="1"/>
    <col min="2" max="2" width="36.7109375" customWidth="1"/>
    <col min="3" max="3" width="8.7109375" customWidth="1"/>
    <col min="4" max="4" width="9.7109375" customWidth="1"/>
    <col min="5" max="5" width="100.7109375" customWidth="1"/>
    <col min="6" max="6" width="111.7109375" customWidth="1"/>
  </cols>
  <sheetData>
    <row r="1" spans="1: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ht="171.6">
      <c r="A2" s="3">
        <v>1</v>
      </c>
      <c r="B2" s="3" t="s">
        <v>46</v>
      </c>
      <c r="C2" s="3">
        <v>677</v>
      </c>
      <c r="D2" s="3" t="s">
        <v>47</v>
      </c>
      <c r="E2" s="3" t="s">
        <v>48</v>
      </c>
      <c r="F2" s="3" t="s">
        <v>49</v>
      </c>
    </row>
    <row r="3" spans="1:6" ht="105.6">
      <c r="A3" s="3">
        <v>3</v>
      </c>
      <c r="B3" s="3" t="s">
        <v>50</v>
      </c>
      <c r="C3" s="3">
        <v>416</v>
      </c>
      <c r="D3" s="3" t="s">
        <v>51</v>
      </c>
      <c r="E3" s="3" t="s">
        <v>52</v>
      </c>
      <c r="F3" s="3" t="s">
        <v>53</v>
      </c>
    </row>
    <row r="4" spans="1:6" ht="39.6">
      <c r="A4" s="3">
        <v>5</v>
      </c>
      <c r="B4" s="3" t="s">
        <v>54</v>
      </c>
      <c r="C4" s="3">
        <v>117</v>
      </c>
      <c r="D4" s="3" t="s">
        <v>51</v>
      </c>
      <c r="E4" s="3" t="s">
        <v>55</v>
      </c>
      <c r="F4" s="3" t="s">
        <v>56</v>
      </c>
    </row>
    <row r="5" spans="1:6">
      <c r="A5" s="3">
        <v>6</v>
      </c>
      <c r="B5" s="3" t="s">
        <v>57</v>
      </c>
      <c r="C5" s="3">
        <v>2</v>
      </c>
      <c r="D5" s="3" t="s">
        <v>51</v>
      </c>
      <c r="E5" s="3" t="s">
        <v>58</v>
      </c>
      <c r="F5" s="3" t="s">
        <v>59</v>
      </c>
    </row>
    <row r="6" spans="1:6" ht="184.9">
      <c r="A6" s="3">
        <v>12</v>
      </c>
      <c r="B6" s="3" t="s">
        <v>46</v>
      </c>
      <c r="C6" s="3">
        <v>710</v>
      </c>
      <c r="D6" s="3" t="s">
        <v>47</v>
      </c>
      <c r="E6" s="3" t="s">
        <v>60</v>
      </c>
      <c r="F6" s="3" t="s">
        <v>61</v>
      </c>
    </row>
    <row r="7" spans="1:6" ht="237.6">
      <c r="A7" s="3">
        <v>17</v>
      </c>
      <c r="B7" s="3" t="s">
        <v>62</v>
      </c>
      <c r="C7" s="3">
        <v>688</v>
      </c>
      <c r="D7" s="3" t="s">
        <v>47</v>
      </c>
      <c r="E7" s="3" t="s">
        <v>63</v>
      </c>
      <c r="F7" s="3" t="s">
        <v>64</v>
      </c>
    </row>
    <row r="8" spans="1:6" ht="79.150000000000006">
      <c r="A8" s="3">
        <v>19</v>
      </c>
      <c r="B8" s="3" t="s">
        <v>65</v>
      </c>
      <c r="C8" s="3">
        <v>129</v>
      </c>
      <c r="D8" s="3" t="s">
        <v>47</v>
      </c>
      <c r="E8" s="3" t="s">
        <v>66</v>
      </c>
      <c r="F8" s="3" t="s">
        <v>67</v>
      </c>
    </row>
    <row r="9" spans="1:6" ht="343.15">
      <c r="A9" s="3">
        <v>23</v>
      </c>
      <c r="B9" s="3" t="s">
        <v>62</v>
      </c>
      <c r="C9" s="3">
        <v>1434</v>
      </c>
      <c r="D9" s="3" t="s">
        <v>51</v>
      </c>
      <c r="E9" s="3" t="s">
        <v>68</v>
      </c>
      <c r="F9" s="3" t="s">
        <v>69</v>
      </c>
    </row>
    <row r="10" spans="1:6" ht="39.6">
      <c r="A10" s="3">
        <v>25</v>
      </c>
      <c r="B10" s="3" t="s">
        <v>65</v>
      </c>
      <c r="C10" s="3">
        <v>121</v>
      </c>
      <c r="D10" s="3" t="s">
        <v>47</v>
      </c>
      <c r="E10" s="3" t="s">
        <v>70</v>
      </c>
      <c r="F10" s="3" t="s">
        <v>71</v>
      </c>
    </row>
    <row r="11" spans="1:6" ht="39.6">
      <c r="A11" s="3">
        <v>27</v>
      </c>
      <c r="B11" s="3" t="s">
        <v>65</v>
      </c>
      <c r="C11" s="3">
        <v>133</v>
      </c>
      <c r="D11" s="3" t="s">
        <v>47</v>
      </c>
      <c r="E11" s="3" t="s">
        <v>72</v>
      </c>
      <c r="F11" s="3" t="s">
        <v>73</v>
      </c>
    </row>
    <row r="12" spans="1:6">
      <c r="A12" s="3">
        <v>29</v>
      </c>
      <c r="B12" s="3" t="s">
        <v>65</v>
      </c>
      <c r="C12" s="3">
        <v>4</v>
      </c>
      <c r="D12" s="3" t="s">
        <v>51</v>
      </c>
      <c r="E12" s="3" t="s">
        <v>74</v>
      </c>
      <c r="F12" s="3" t="s">
        <v>75</v>
      </c>
    </row>
    <row r="13" spans="1:6" ht="250.9">
      <c r="A13" s="3">
        <v>31</v>
      </c>
      <c r="B13" s="3" t="s">
        <v>65</v>
      </c>
      <c r="C13" s="3">
        <v>1046</v>
      </c>
      <c r="D13" s="3" t="s">
        <v>47</v>
      </c>
      <c r="E13" s="3" t="s">
        <v>76</v>
      </c>
      <c r="F13" s="3" t="s">
        <v>77</v>
      </c>
    </row>
    <row r="14" spans="1:6" ht="343.15">
      <c r="A14" s="3">
        <v>33</v>
      </c>
      <c r="B14" s="3" t="s">
        <v>62</v>
      </c>
      <c r="C14" s="3">
        <v>1434</v>
      </c>
      <c r="D14" s="3" t="s">
        <v>51</v>
      </c>
      <c r="E14" s="3" t="s">
        <v>78</v>
      </c>
      <c r="F14" s="3" t="s">
        <v>79</v>
      </c>
    </row>
    <row r="15" spans="1:6" ht="79.150000000000006">
      <c r="A15" s="3">
        <v>35</v>
      </c>
      <c r="B15" s="3" t="s">
        <v>65</v>
      </c>
      <c r="C15" s="3">
        <v>295</v>
      </c>
      <c r="D15" s="3" t="s">
        <v>47</v>
      </c>
      <c r="E15" s="3" t="s">
        <v>80</v>
      </c>
      <c r="F15" s="3" t="s">
        <v>81</v>
      </c>
    </row>
    <row r="16" spans="1:6" ht="79.150000000000006">
      <c r="A16" s="3">
        <v>37</v>
      </c>
      <c r="B16" s="3" t="s">
        <v>65</v>
      </c>
      <c r="C16" s="3">
        <v>295</v>
      </c>
      <c r="D16" s="3" t="s">
        <v>47</v>
      </c>
      <c r="E16" s="3" t="s">
        <v>82</v>
      </c>
      <c r="F16" s="3" t="s">
        <v>83</v>
      </c>
    </row>
    <row r="17" spans="1:6" ht="39.6">
      <c r="A17" s="3">
        <v>39</v>
      </c>
      <c r="B17" s="3" t="s">
        <v>65</v>
      </c>
      <c r="C17" s="3">
        <v>132</v>
      </c>
      <c r="D17" s="3" t="s">
        <v>47</v>
      </c>
      <c r="E17" s="3" t="s">
        <v>84</v>
      </c>
      <c r="F17" s="3" t="s">
        <v>85</v>
      </c>
    </row>
    <row r="18" spans="1:6" ht="26.45">
      <c r="A18" s="3">
        <v>41</v>
      </c>
      <c r="B18" s="3" t="s">
        <v>65</v>
      </c>
      <c r="C18" s="3">
        <v>103</v>
      </c>
      <c r="D18" s="3" t="s">
        <v>47</v>
      </c>
      <c r="E18" s="3" t="s">
        <v>86</v>
      </c>
      <c r="F18" s="3" t="s">
        <v>87</v>
      </c>
    </row>
    <row r="19" spans="1:6" ht="26.45">
      <c r="A19" s="3">
        <v>43</v>
      </c>
      <c r="B19" s="3" t="s">
        <v>62</v>
      </c>
      <c r="C19" s="3">
        <v>42</v>
      </c>
      <c r="D19" s="3" t="s">
        <v>51</v>
      </c>
      <c r="E19" s="3" t="s">
        <v>88</v>
      </c>
      <c r="F19" s="3" t="s">
        <v>89</v>
      </c>
    </row>
    <row r="20" spans="1:6" ht="26.45">
      <c r="A20" s="3">
        <v>44</v>
      </c>
      <c r="B20" s="3" t="s">
        <v>62</v>
      </c>
      <c r="C20" s="3">
        <v>42</v>
      </c>
      <c r="D20" s="3" t="s">
        <v>51</v>
      </c>
      <c r="E20" s="3" t="s">
        <v>88</v>
      </c>
      <c r="F20" s="3" t="s">
        <v>89</v>
      </c>
    </row>
    <row r="21" spans="1:6" ht="145.15">
      <c r="A21" s="3">
        <v>46</v>
      </c>
      <c r="B21" s="3" t="s">
        <v>62</v>
      </c>
      <c r="C21" s="3">
        <v>555</v>
      </c>
      <c r="D21" s="3" t="s">
        <v>51</v>
      </c>
      <c r="E21" s="3" t="s">
        <v>90</v>
      </c>
      <c r="F21" s="3" t="s">
        <v>91</v>
      </c>
    </row>
    <row r="22" spans="1:6" ht="52.9">
      <c r="A22" s="3">
        <v>48</v>
      </c>
      <c r="B22" s="3" t="s">
        <v>65</v>
      </c>
      <c r="C22" s="3">
        <v>188</v>
      </c>
      <c r="D22" s="3" t="s">
        <v>47</v>
      </c>
      <c r="E22" s="3" t="s">
        <v>92</v>
      </c>
      <c r="F22" s="3" t="s">
        <v>93</v>
      </c>
    </row>
    <row r="23" spans="1:6" ht="39.6">
      <c r="A23" s="3">
        <v>50</v>
      </c>
      <c r="B23" s="3" t="s">
        <v>65</v>
      </c>
      <c r="C23" s="3">
        <v>112</v>
      </c>
      <c r="D23" s="3" t="s">
        <v>47</v>
      </c>
      <c r="E23" s="3" t="s">
        <v>94</v>
      </c>
      <c r="F23" s="3" t="s">
        <v>95</v>
      </c>
    </row>
    <row r="24" spans="1:6" ht="26.45">
      <c r="A24" s="3">
        <v>52</v>
      </c>
      <c r="B24" s="3" t="s">
        <v>62</v>
      </c>
      <c r="C24" s="3">
        <v>85</v>
      </c>
      <c r="D24" s="3" t="s">
        <v>51</v>
      </c>
      <c r="E24" s="3" t="s">
        <v>96</v>
      </c>
      <c r="F24" s="3" t="s">
        <v>97</v>
      </c>
    </row>
    <row r="25" spans="1:6" ht="132">
      <c r="A25" s="3">
        <v>53</v>
      </c>
      <c r="B25" s="3" t="s">
        <v>62</v>
      </c>
      <c r="C25" s="3">
        <v>500</v>
      </c>
      <c r="D25" s="3" t="s">
        <v>51</v>
      </c>
      <c r="E25" s="3" t="s">
        <v>98</v>
      </c>
      <c r="F25" s="3" t="s">
        <v>99</v>
      </c>
    </row>
    <row r="26" spans="1:6" ht="39.6">
      <c r="A26" s="3">
        <v>55</v>
      </c>
      <c r="B26" s="3" t="s">
        <v>65</v>
      </c>
      <c r="C26" s="3">
        <v>162</v>
      </c>
      <c r="D26" s="3" t="s">
        <v>47</v>
      </c>
      <c r="E26" s="3" t="s">
        <v>100</v>
      </c>
      <c r="F26" s="3" t="s">
        <v>101</v>
      </c>
    </row>
    <row r="27" spans="1:6" ht="26.45">
      <c r="A27" s="3">
        <v>57</v>
      </c>
      <c r="B27" s="3" t="s">
        <v>65</v>
      </c>
      <c r="C27" s="3">
        <v>104</v>
      </c>
      <c r="D27" s="3" t="s">
        <v>47</v>
      </c>
      <c r="E27" s="3" t="s">
        <v>102</v>
      </c>
      <c r="F27" s="3" t="s">
        <v>103</v>
      </c>
    </row>
    <row r="28" spans="1:6">
      <c r="A28" s="3">
        <v>59</v>
      </c>
      <c r="B28" s="3" t="s">
        <v>62</v>
      </c>
      <c r="C28" s="3">
        <v>46</v>
      </c>
      <c r="D28" s="3" t="s">
        <v>51</v>
      </c>
      <c r="E28" s="3" t="s">
        <v>104</v>
      </c>
      <c r="F28" s="3" t="s">
        <v>105</v>
      </c>
    </row>
    <row r="29" spans="1:6">
      <c r="A29" s="3">
        <v>60</v>
      </c>
      <c r="B29" s="3" t="s">
        <v>62</v>
      </c>
      <c r="C29" s="3">
        <v>46</v>
      </c>
      <c r="D29" s="3" t="s">
        <v>51</v>
      </c>
      <c r="E29" s="3" t="s">
        <v>104</v>
      </c>
      <c r="F29" s="3" t="s">
        <v>105</v>
      </c>
    </row>
    <row r="30" spans="1:6" ht="66">
      <c r="A30" s="3">
        <v>62</v>
      </c>
      <c r="B30" s="3" t="s">
        <v>62</v>
      </c>
      <c r="C30" s="3">
        <v>237</v>
      </c>
      <c r="D30" s="3" t="s">
        <v>51</v>
      </c>
      <c r="E30" s="3" t="s">
        <v>106</v>
      </c>
      <c r="F30" s="3" t="s">
        <v>107</v>
      </c>
    </row>
    <row r="31" spans="1:6">
      <c r="A31" s="3">
        <v>64</v>
      </c>
      <c r="B31" s="3" t="s">
        <v>65</v>
      </c>
      <c r="C31" s="3">
        <v>40</v>
      </c>
      <c r="D31" s="3" t="s">
        <v>47</v>
      </c>
      <c r="E31" s="3" t="s">
        <v>108</v>
      </c>
      <c r="F31" s="3" t="s">
        <v>109</v>
      </c>
    </row>
    <row r="32" spans="1:6" ht="39.6">
      <c r="A32" s="3">
        <v>66</v>
      </c>
      <c r="B32" s="3" t="s">
        <v>65</v>
      </c>
      <c r="C32" s="3">
        <v>156</v>
      </c>
      <c r="D32" s="3" t="s">
        <v>47</v>
      </c>
      <c r="E32" s="3" t="s">
        <v>110</v>
      </c>
      <c r="F32" s="3" t="s">
        <v>111</v>
      </c>
    </row>
    <row r="33" spans="1:6" ht="66">
      <c r="A33" s="3">
        <v>68</v>
      </c>
      <c r="B33" s="3" t="s">
        <v>62</v>
      </c>
      <c r="C33" s="3">
        <v>239</v>
      </c>
      <c r="D33" s="3" t="s">
        <v>51</v>
      </c>
      <c r="E33" s="3" t="s">
        <v>112</v>
      </c>
      <c r="F33" s="3" t="s">
        <v>113</v>
      </c>
    </row>
    <row r="34" spans="1:6" ht="66">
      <c r="A34" s="3">
        <v>69</v>
      </c>
      <c r="B34" s="3" t="s">
        <v>62</v>
      </c>
      <c r="C34" s="3">
        <v>239</v>
      </c>
      <c r="D34" s="3" t="s">
        <v>51</v>
      </c>
      <c r="E34" s="3" t="s">
        <v>112</v>
      </c>
      <c r="F34" s="3" t="s">
        <v>113</v>
      </c>
    </row>
    <row r="35" spans="1:6">
      <c r="A35" s="3">
        <v>71</v>
      </c>
      <c r="B35" s="3" t="s">
        <v>65</v>
      </c>
      <c r="C35" s="3">
        <v>40</v>
      </c>
      <c r="D35" s="3" t="s">
        <v>47</v>
      </c>
      <c r="E35" s="3" t="s">
        <v>114</v>
      </c>
      <c r="F35" s="3" t="s">
        <v>115</v>
      </c>
    </row>
    <row r="36" spans="1:6" ht="66">
      <c r="A36" s="3">
        <v>73</v>
      </c>
      <c r="B36" s="3" t="s">
        <v>62</v>
      </c>
      <c r="C36" s="3">
        <v>239</v>
      </c>
      <c r="D36" s="3" t="s">
        <v>51</v>
      </c>
      <c r="E36" s="3" t="s">
        <v>116</v>
      </c>
      <c r="F36" s="3" t="s">
        <v>117</v>
      </c>
    </row>
    <row r="37" spans="1:6">
      <c r="A37" s="3">
        <v>74</v>
      </c>
      <c r="B37" s="3" t="s">
        <v>65</v>
      </c>
      <c r="C37" s="3">
        <v>40</v>
      </c>
      <c r="D37" s="3" t="s">
        <v>47</v>
      </c>
      <c r="E37" s="3" t="s">
        <v>118</v>
      </c>
      <c r="F37" s="3" t="s">
        <v>119</v>
      </c>
    </row>
    <row r="38" spans="1:6" ht="66">
      <c r="A38" s="3">
        <v>76</v>
      </c>
      <c r="B38" s="3" t="s">
        <v>62</v>
      </c>
      <c r="C38" s="3">
        <v>239</v>
      </c>
      <c r="D38" s="3" t="s">
        <v>51</v>
      </c>
      <c r="E38" s="3" t="s">
        <v>120</v>
      </c>
      <c r="F38" s="3" t="s">
        <v>121</v>
      </c>
    </row>
    <row r="39" spans="1:6" ht="66">
      <c r="A39" s="3">
        <v>77</v>
      </c>
      <c r="B39" s="3" t="s">
        <v>62</v>
      </c>
      <c r="C39" s="3">
        <v>239</v>
      </c>
      <c r="D39" s="3" t="s">
        <v>51</v>
      </c>
      <c r="E39" s="3" t="s">
        <v>120</v>
      </c>
      <c r="F39" s="3" t="s">
        <v>121</v>
      </c>
    </row>
    <row r="40" spans="1:6">
      <c r="A40" s="3">
        <v>79</v>
      </c>
      <c r="B40" s="3" t="s">
        <v>65</v>
      </c>
      <c r="C40" s="3">
        <v>40</v>
      </c>
      <c r="D40" s="3" t="s">
        <v>47</v>
      </c>
      <c r="E40" s="3" t="s">
        <v>122</v>
      </c>
      <c r="F40" s="3" t="s">
        <v>123</v>
      </c>
    </row>
    <row r="41" spans="1:6" ht="66">
      <c r="A41" s="3">
        <v>81</v>
      </c>
      <c r="B41" s="3" t="s">
        <v>62</v>
      </c>
      <c r="C41" s="3">
        <v>239</v>
      </c>
      <c r="D41" s="3" t="s">
        <v>51</v>
      </c>
      <c r="E41" s="3" t="s">
        <v>124</v>
      </c>
      <c r="F41" s="3" t="s">
        <v>125</v>
      </c>
    </row>
    <row r="42" spans="1:6">
      <c r="A42" s="3">
        <v>82</v>
      </c>
      <c r="B42" s="3" t="s">
        <v>65</v>
      </c>
      <c r="C42" s="3">
        <v>40</v>
      </c>
      <c r="D42" s="3" t="s">
        <v>47</v>
      </c>
      <c r="E42" s="3" t="s">
        <v>126</v>
      </c>
      <c r="F42" s="3" t="s">
        <v>127</v>
      </c>
    </row>
    <row r="43" spans="1:6" ht="290.45">
      <c r="A43" s="3">
        <v>87</v>
      </c>
      <c r="B43" s="3" t="s">
        <v>128</v>
      </c>
      <c r="C43" s="3">
        <v>825</v>
      </c>
      <c r="D43" s="3" t="s">
        <v>47</v>
      </c>
      <c r="E43" s="3" t="s">
        <v>129</v>
      </c>
      <c r="F43" s="3" t="s">
        <v>130</v>
      </c>
    </row>
    <row r="44" spans="1:6" ht="184.9">
      <c r="A44" s="3">
        <v>89</v>
      </c>
      <c r="B44" s="3" t="s">
        <v>131</v>
      </c>
      <c r="C44" s="3">
        <v>561</v>
      </c>
      <c r="D44" s="3" t="s">
        <v>47</v>
      </c>
      <c r="E44" s="3" t="s">
        <v>132</v>
      </c>
      <c r="F44" s="3" t="s">
        <v>133</v>
      </c>
    </row>
    <row r="45" spans="1:6">
      <c r="A45" s="3">
        <v>94</v>
      </c>
      <c r="B45" s="3" t="s">
        <v>65</v>
      </c>
      <c r="C45" s="3">
        <v>4</v>
      </c>
      <c r="D45" s="3" t="s">
        <v>51</v>
      </c>
      <c r="E45" s="3" t="s">
        <v>74</v>
      </c>
      <c r="F45" s="3" t="s">
        <v>134</v>
      </c>
    </row>
    <row r="46" spans="1:6" ht="303.60000000000002">
      <c r="A46" s="3">
        <v>96</v>
      </c>
      <c r="B46" s="3" t="s">
        <v>65</v>
      </c>
      <c r="C46" s="3">
        <v>1236</v>
      </c>
      <c r="D46" s="3" t="s">
        <v>47</v>
      </c>
      <c r="E46" s="3" t="s">
        <v>135</v>
      </c>
      <c r="F46" s="3" t="s">
        <v>136</v>
      </c>
    </row>
    <row r="47" spans="1:6" ht="290.45">
      <c r="A47" s="3">
        <v>105</v>
      </c>
      <c r="B47" s="3" t="s">
        <v>137</v>
      </c>
      <c r="C47" s="3">
        <v>825</v>
      </c>
      <c r="D47" s="3" t="s">
        <v>47</v>
      </c>
      <c r="E47" s="3" t="s">
        <v>138</v>
      </c>
      <c r="F47" s="3" t="s">
        <v>139</v>
      </c>
    </row>
    <row r="48" spans="1:6" ht="184.9">
      <c r="A48" s="3">
        <v>107</v>
      </c>
      <c r="B48" s="3" t="s">
        <v>140</v>
      </c>
      <c r="C48" s="3">
        <v>562</v>
      </c>
      <c r="D48" s="3" t="s">
        <v>47</v>
      </c>
      <c r="E48" s="3" t="s">
        <v>141</v>
      </c>
      <c r="F48" s="3" t="s">
        <v>142</v>
      </c>
    </row>
    <row r="49" spans="1:6" ht="79.150000000000006">
      <c r="A49" s="3">
        <v>112</v>
      </c>
      <c r="B49" s="3" t="s">
        <v>143</v>
      </c>
      <c r="C49" s="3">
        <v>107</v>
      </c>
      <c r="D49" s="3" t="s">
        <v>47</v>
      </c>
      <c r="E49" s="3" t="s">
        <v>144</v>
      </c>
      <c r="F49" s="3" t="s">
        <v>145</v>
      </c>
    </row>
    <row r="50" spans="1:6" ht="356.45">
      <c r="A50" s="3">
        <v>113</v>
      </c>
      <c r="B50" s="3" t="s">
        <v>146</v>
      </c>
      <c r="C50" s="3">
        <v>1434</v>
      </c>
      <c r="D50" s="3" t="s">
        <v>47</v>
      </c>
      <c r="E50" s="3" t="s">
        <v>147</v>
      </c>
      <c r="F50" s="3" t="s">
        <v>148</v>
      </c>
    </row>
    <row r="51" spans="1:6" ht="184.9">
      <c r="A51" s="3">
        <v>115</v>
      </c>
      <c r="B51" s="3" t="s">
        <v>146</v>
      </c>
      <c r="C51" s="3">
        <v>746</v>
      </c>
      <c r="D51" s="3" t="s">
        <v>47</v>
      </c>
      <c r="E51" s="3" t="s">
        <v>149</v>
      </c>
      <c r="F51" s="3" t="s">
        <v>150</v>
      </c>
    </row>
    <row r="52" spans="1:6" ht="330">
      <c r="A52" s="3">
        <v>120</v>
      </c>
      <c r="B52" s="3" t="s">
        <v>151</v>
      </c>
      <c r="C52" s="3">
        <v>1346</v>
      </c>
      <c r="D52" s="3" t="s">
        <v>47</v>
      </c>
      <c r="E52" s="3" t="s">
        <v>152</v>
      </c>
      <c r="F52" s="3" t="s">
        <v>153</v>
      </c>
    </row>
    <row r="53" spans="1:6" ht="158.44999999999999">
      <c r="A53" s="3">
        <v>122</v>
      </c>
      <c r="B53" s="3" t="s">
        <v>154</v>
      </c>
      <c r="C53" s="3">
        <v>600</v>
      </c>
      <c r="D53" s="3" t="s">
        <v>47</v>
      </c>
      <c r="E53" s="3" t="s">
        <v>155</v>
      </c>
      <c r="F53" s="3" t="s">
        <v>156</v>
      </c>
    </row>
    <row r="54" spans="1:6" ht="92.45">
      <c r="A54" s="3">
        <v>127</v>
      </c>
      <c r="B54" s="3" t="s">
        <v>50</v>
      </c>
      <c r="C54" s="3">
        <v>365</v>
      </c>
      <c r="D54" s="3" t="s">
        <v>51</v>
      </c>
      <c r="E54" s="3" t="s">
        <v>157</v>
      </c>
      <c r="F54" s="3" t="s">
        <v>158</v>
      </c>
    </row>
    <row r="55" spans="1:6" ht="290.45">
      <c r="A55" s="3">
        <v>132</v>
      </c>
      <c r="B55" s="3" t="s">
        <v>159</v>
      </c>
      <c r="C55" s="3">
        <v>821</v>
      </c>
      <c r="D55" s="3" t="s">
        <v>47</v>
      </c>
      <c r="E55" s="3" t="s">
        <v>160</v>
      </c>
      <c r="F55" s="3" t="s">
        <v>161</v>
      </c>
    </row>
    <row r="56" spans="1:6" ht="171.6">
      <c r="A56" s="3">
        <v>134</v>
      </c>
      <c r="B56" s="3" t="s">
        <v>162</v>
      </c>
      <c r="C56" s="3">
        <v>393</v>
      </c>
      <c r="D56" s="3" t="s">
        <v>47</v>
      </c>
      <c r="E56" s="3" t="s">
        <v>163</v>
      </c>
      <c r="F56" s="3" t="s">
        <v>164</v>
      </c>
    </row>
    <row r="57" spans="1:6" ht="290.45">
      <c r="A57" s="3">
        <v>142</v>
      </c>
      <c r="B57" s="3" t="s">
        <v>165</v>
      </c>
      <c r="C57" s="3">
        <v>825</v>
      </c>
      <c r="D57" s="3" t="s">
        <v>47</v>
      </c>
      <c r="E57" s="3" t="s">
        <v>166</v>
      </c>
      <c r="F57" s="3" t="s">
        <v>167</v>
      </c>
    </row>
    <row r="58" spans="1:6" ht="184.9">
      <c r="A58" s="3">
        <v>144</v>
      </c>
      <c r="B58" s="3" t="s">
        <v>168</v>
      </c>
      <c r="C58" s="3">
        <v>562</v>
      </c>
      <c r="D58" s="3" t="s">
        <v>47</v>
      </c>
      <c r="E58" s="3" t="s">
        <v>169</v>
      </c>
      <c r="F58" s="3" t="s">
        <v>170</v>
      </c>
    </row>
  </sheetData>
  <autoFilter ref="A1:F5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pane ySplit="1" topLeftCell="A2" activePane="bottomLeft" state="frozen"/>
      <selection pane="bottomLeft" activeCell="C27" sqref="C27"/>
    </sheetView>
  </sheetViews>
  <sheetFormatPr defaultColWidth="8.85546875" defaultRowHeight="14.45"/>
  <cols>
    <col min="1" max="2" width="22.7109375" customWidth="1"/>
    <col min="3" max="3" width="10.7109375" customWidth="1"/>
    <col min="4" max="4" width="12.7109375" customWidth="1"/>
    <col min="5" max="5" width="13.7109375" customWidth="1"/>
    <col min="6" max="7" width="12.7109375" customWidth="1"/>
  </cols>
  <sheetData>
    <row r="1" spans="1:7">
      <c r="A1" s="1" t="s">
        <v>171</v>
      </c>
      <c r="B1" s="1" t="s">
        <v>172</v>
      </c>
      <c r="C1" s="1" t="s">
        <v>173</v>
      </c>
      <c r="D1" s="1" t="s">
        <v>14</v>
      </c>
      <c r="E1" s="1" t="s">
        <v>29</v>
      </c>
      <c r="F1" s="1" t="s">
        <v>174</v>
      </c>
      <c r="G1" s="1" t="s">
        <v>175</v>
      </c>
    </row>
    <row r="2" spans="1:7">
      <c r="A2" s="2" t="s">
        <v>176</v>
      </c>
      <c r="B2" s="2" t="s">
        <v>177</v>
      </c>
      <c r="C2" s="2">
        <v>8</v>
      </c>
      <c r="D2" s="2">
        <v>2696</v>
      </c>
      <c r="E2" s="2">
        <v>2168</v>
      </c>
      <c r="F2" s="2">
        <v>0</v>
      </c>
      <c r="G2" s="2">
        <v>24.971267000000001</v>
      </c>
    </row>
    <row r="3" spans="1:7">
      <c r="A3" s="2" t="s">
        <v>178</v>
      </c>
      <c r="B3" s="2" t="s">
        <v>177</v>
      </c>
      <c r="C3" s="2">
        <v>7</v>
      </c>
      <c r="D3" s="2">
        <v>581</v>
      </c>
      <c r="E3" s="2">
        <v>119</v>
      </c>
      <c r="F3" s="2">
        <v>3.7919000000000001E-2</v>
      </c>
      <c r="G3" s="2">
        <v>4.3794E-2</v>
      </c>
    </row>
    <row r="4" spans="1:7">
      <c r="A4" s="2" t="s">
        <v>179</v>
      </c>
      <c r="B4" s="2" t="s">
        <v>177</v>
      </c>
      <c r="C4" s="2">
        <v>72</v>
      </c>
      <c r="D4" s="2">
        <v>15779</v>
      </c>
      <c r="E4" s="2">
        <v>10963</v>
      </c>
      <c r="F4" s="2">
        <v>0.23999699999999999</v>
      </c>
      <c r="G4" s="2">
        <v>7.0198349999999996</v>
      </c>
    </row>
    <row r="5" spans="1:7">
      <c r="A5" s="2" t="s">
        <v>180</v>
      </c>
      <c r="B5" s="2" t="s">
        <v>181</v>
      </c>
      <c r="C5" s="2">
        <v>11</v>
      </c>
      <c r="D5" s="2">
        <v>3013</v>
      </c>
      <c r="E5" s="2">
        <v>2287</v>
      </c>
      <c r="F5" s="2">
        <v>0.27577000000000002</v>
      </c>
      <c r="G5" s="2">
        <v>17.481638</v>
      </c>
    </row>
    <row r="6" spans="1:7">
      <c r="A6" s="2" t="s">
        <v>182</v>
      </c>
      <c r="B6" s="2" t="s">
        <v>177</v>
      </c>
      <c r="C6" s="2">
        <v>10</v>
      </c>
      <c r="D6" s="2">
        <v>2062</v>
      </c>
      <c r="E6" s="2">
        <v>1386</v>
      </c>
      <c r="F6" s="2">
        <v>6.2852870000000003</v>
      </c>
      <c r="G6" s="2">
        <v>6.3112680000000001</v>
      </c>
    </row>
    <row r="7" spans="1:7">
      <c r="A7" s="2" t="s">
        <v>183</v>
      </c>
      <c r="B7" s="2" t="s">
        <v>177</v>
      </c>
      <c r="C7" s="2">
        <v>10</v>
      </c>
      <c r="D7" s="2">
        <v>2063</v>
      </c>
      <c r="E7" s="2">
        <v>1387</v>
      </c>
      <c r="F7" s="2">
        <v>16.535563</v>
      </c>
      <c r="G7" s="2">
        <v>16.549966000000001</v>
      </c>
    </row>
    <row r="8" spans="1:7">
      <c r="A8" s="2" t="s">
        <v>184</v>
      </c>
      <c r="B8" s="2" t="s">
        <v>177</v>
      </c>
      <c r="C8" s="2">
        <v>10</v>
      </c>
      <c r="D8" s="2">
        <v>2622</v>
      </c>
      <c r="E8" s="2">
        <v>1946</v>
      </c>
      <c r="F8" s="2">
        <v>17.483425</v>
      </c>
      <c r="G8" s="2">
        <v>17.488954</v>
      </c>
    </row>
    <row r="9" spans="1:7">
      <c r="A9" s="2" t="s">
        <v>185</v>
      </c>
      <c r="B9" s="2" t="s">
        <v>177</v>
      </c>
      <c r="C9" s="2">
        <v>10</v>
      </c>
      <c r="D9" s="2">
        <v>1890</v>
      </c>
      <c r="E9" s="2">
        <v>1214</v>
      </c>
      <c r="F9" s="2">
        <v>25.321721</v>
      </c>
      <c r="G9" s="2">
        <v>25.329457000000001</v>
      </c>
    </row>
    <row r="10" spans="1:7">
      <c r="A10" s="2" t="s">
        <v>186</v>
      </c>
      <c r="B10" s="2" t="s">
        <v>177</v>
      </c>
      <c r="C10" s="2">
        <v>10</v>
      </c>
      <c r="D10" s="2">
        <v>2063</v>
      </c>
      <c r="E10" s="2">
        <v>1387</v>
      </c>
      <c r="F10" s="2">
        <v>26.712526</v>
      </c>
      <c r="G10" s="2">
        <v>26.722208999999999</v>
      </c>
    </row>
  </sheetData>
  <autoFilter ref="A1:G10" xr:uid="{00000000-0009-0000-0000-000003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46D6BBE6EFE34DB052E9EBE2921D8E" ma:contentTypeVersion="9" ma:contentTypeDescription="Crear nuevo documento." ma:contentTypeScope="" ma:versionID="7fe5908a2239346204cecdbaae335a14">
  <xsd:schema xmlns:xsd="http://www.w3.org/2001/XMLSchema" xmlns:xs="http://www.w3.org/2001/XMLSchema" xmlns:p="http://schemas.microsoft.com/office/2006/metadata/properties" xmlns:ns2="f7260b6a-ebc0-4397-a22d-5e10b0da7970" xmlns:ns3="d3a9dee7-7e01-4317-a7ba-5d2d972421f4" targetNamespace="http://schemas.microsoft.com/office/2006/metadata/properties" ma:root="true" ma:fieldsID="0e0caea05f109c71f7354c93ca5dc4e4" ns2:_="" ns3:_="">
    <xsd:import namespace="f7260b6a-ebc0-4397-a22d-5e10b0da7970"/>
    <xsd:import namespace="d3a9dee7-7e01-4317-a7ba-5d2d97242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60b6a-ebc0-4397-a22d-5e10b0da7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d21979f-4ff3-4765-882b-31f71102b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9dee7-7e01-4317-a7ba-5d2d972421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93ddad-3ef6-4a2e-b1f1-d0a592a97350}" ma:internalName="TaxCatchAll" ma:showField="CatchAllData" ma:web="d3a9dee7-7e01-4317-a7ba-5d2d97242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60b6a-ebc0-4397-a22d-5e10b0da7970">
      <Terms xmlns="http://schemas.microsoft.com/office/infopath/2007/PartnerControls"/>
    </lcf76f155ced4ddcb4097134ff3c332f>
    <TaxCatchAll xmlns="d3a9dee7-7e01-4317-a7ba-5d2d972421f4" xsi:nil="true"/>
  </documentManagement>
</p:properties>
</file>

<file path=customXml/itemProps1.xml><?xml version="1.0" encoding="utf-8"?>
<ds:datastoreItem xmlns:ds="http://schemas.openxmlformats.org/officeDocument/2006/customXml" ds:itemID="{1D371327-D473-4169-9744-CFBBD1719341}"/>
</file>

<file path=customXml/itemProps2.xml><?xml version="1.0" encoding="utf-8"?>
<ds:datastoreItem xmlns:ds="http://schemas.openxmlformats.org/officeDocument/2006/customXml" ds:itemID="{79A18071-302B-4E3D-8AD7-1C80799F7834}"/>
</file>

<file path=customXml/itemProps3.xml><?xml version="1.0" encoding="utf-8"?>
<ds:datastoreItem xmlns:ds="http://schemas.openxmlformats.org/officeDocument/2006/customXml" ds:itemID="{B7754EB6-276E-4ACF-AEF0-E10A98A72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 David Chaves Jimenez</cp:lastModifiedBy>
  <cp:revision/>
  <dcterms:created xsi:type="dcterms:W3CDTF">2026-09-30T23:33:49Z</dcterms:created>
  <dcterms:modified xsi:type="dcterms:W3CDTF">2026-10-08T18:47:13Z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0x010100F646D6BBE6EFE34DB052E9EBE2921D8E</vt:lpwstr>
  </property>
  <property fmtid="{D5CDD505-2E9C-101B-9397-08002B2CF9AE}" pid="3" name="MediaServiceImageTags">
    <vt:lpwstr/>
  </property>
</Properties>
</file>